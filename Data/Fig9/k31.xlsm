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aponte/Desktop/Project_IFN/RevisionData/Fig9/"/>
    </mc:Choice>
  </mc:AlternateContent>
  <xr:revisionPtr revIDLastSave="0" documentId="13_ncr:1_{0B02EC03-E136-404D-A944-696130D0E579}" xr6:coauthVersionLast="47" xr6:coauthVersionMax="47" xr10:uidLastSave="{00000000-0000-0000-0000-000000000000}"/>
  <bookViews>
    <workbookView xWindow="20" yWindow="500" windowWidth="31520" windowHeight="26380" xr2:uid="{00000000-000D-0000-FFFF-FFFF00000000}"/>
  </bookViews>
  <sheets>
    <sheet name="Tab.Baseline.GrowthRate" sheetId="1" r:id="rId1"/>
  </sheets>
  <calcPr calcId="191029"/>
</workbook>
</file>

<file path=xl/calcChain.xml><?xml version="1.0" encoding="utf-8"?>
<calcChain xmlns="http://schemas.openxmlformats.org/spreadsheetml/2006/main">
  <c r="O125" i="1" l="1"/>
  <c r="N125" i="1"/>
  <c r="M125" i="1"/>
  <c r="L125" i="1"/>
  <c r="O124" i="1"/>
  <c r="N124" i="1"/>
  <c r="M124" i="1"/>
  <c r="L124" i="1"/>
  <c r="O123" i="1"/>
  <c r="N123" i="1"/>
  <c r="M123" i="1"/>
  <c r="L123" i="1"/>
  <c r="O122" i="1"/>
  <c r="N122" i="1"/>
  <c r="M122" i="1"/>
  <c r="L122" i="1"/>
  <c r="O121" i="1"/>
  <c r="N121" i="1"/>
  <c r="M121" i="1"/>
  <c r="L121" i="1"/>
  <c r="O120" i="1"/>
  <c r="N120" i="1"/>
  <c r="M120" i="1"/>
  <c r="L120" i="1"/>
  <c r="O119" i="1"/>
  <c r="N119" i="1"/>
  <c r="M119" i="1"/>
  <c r="L119" i="1"/>
  <c r="O118" i="1"/>
  <c r="N118" i="1"/>
  <c r="M118" i="1"/>
  <c r="L118" i="1"/>
  <c r="O117" i="1"/>
  <c r="N117" i="1"/>
  <c r="M117" i="1"/>
  <c r="L117" i="1"/>
  <c r="O116" i="1"/>
  <c r="N116" i="1"/>
  <c r="M116" i="1"/>
  <c r="L116" i="1"/>
  <c r="O115" i="1"/>
  <c r="N115" i="1"/>
  <c r="M115" i="1"/>
  <c r="L115" i="1"/>
  <c r="O114" i="1"/>
  <c r="N114" i="1"/>
  <c r="M114" i="1"/>
  <c r="L114" i="1"/>
  <c r="O113" i="1"/>
  <c r="N113" i="1"/>
  <c r="M113" i="1"/>
  <c r="L113" i="1"/>
  <c r="O112" i="1"/>
  <c r="N112" i="1"/>
  <c r="M112" i="1"/>
  <c r="L112" i="1"/>
  <c r="O111" i="1"/>
  <c r="N111" i="1"/>
  <c r="M111" i="1"/>
  <c r="L111" i="1"/>
  <c r="O110" i="1"/>
  <c r="N110" i="1"/>
  <c r="M110" i="1"/>
  <c r="L110" i="1"/>
  <c r="O109" i="1"/>
  <c r="N109" i="1"/>
  <c r="M109" i="1"/>
  <c r="L109" i="1"/>
  <c r="O108" i="1"/>
  <c r="N108" i="1"/>
  <c r="M108" i="1"/>
  <c r="L108" i="1"/>
  <c r="O107" i="1"/>
  <c r="N107" i="1"/>
  <c r="M107" i="1"/>
  <c r="L107" i="1"/>
  <c r="O106" i="1"/>
  <c r="N106" i="1"/>
  <c r="M106" i="1"/>
  <c r="L106" i="1"/>
  <c r="O105" i="1"/>
  <c r="N105" i="1"/>
  <c r="M105" i="1"/>
  <c r="L105" i="1"/>
  <c r="O104" i="1"/>
  <c r="N104" i="1"/>
  <c r="M104" i="1"/>
  <c r="L104" i="1"/>
  <c r="O98" i="1"/>
  <c r="N98" i="1"/>
  <c r="M98" i="1"/>
  <c r="L98" i="1"/>
  <c r="O97" i="1"/>
  <c r="N97" i="1"/>
  <c r="M97" i="1"/>
  <c r="L97" i="1"/>
  <c r="O96" i="1"/>
  <c r="N96" i="1"/>
  <c r="M96" i="1"/>
  <c r="L96" i="1"/>
  <c r="O95" i="1"/>
  <c r="N95" i="1"/>
  <c r="M95" i="1"/>
  <c r="L95" i="1"/>
  <c r="O94" i="1"/>
  <c r="N94" i="1"/>
  <c r="M94" i="1"/>
  <c r="L94" i="1"/>
  <c r="O93" i="1"/>
  <c r="N93" i="1"/>
  <c r="M93" i="1"/>
  <c r="L93" i="1"/>
  <c r="O92" i="1"/>
  <c r="N92" i="1"/>
  <c r="M92" i="1"/>
  <c r="L92" i="1"/>
  <c r="O91" i="1"/>
  <c r="N91" i="1"/>
  <c r="M91" i="1"/>
  <c r="L91" i="1"/>
  <c r="O90" i="1"/>
  <c r="N90" i="1"/>
  <c r="M90" i="1"/>
  <c r="L90" i="1"/>
  <c r="O89" i="1"/>
  <c r="N89" i="1"/>
  <c r="M89" i="1"/>
  <c r="L89" i="1"/>
  <c r="O88" i="1"/>
  <c r="N88" i="1"/>
  <c r="M88" i="1"/>
  <c r="L88" i="1"/>
  <c r="O87" i="1"/>
  <c r="N87" i="1"/>
  <c r="M87" i="1"/>
  <c r="L87" i="1"/>
  <c r="O86" i="1"/>
  <c r="N86" i="1"/>
  <c r="M86" i="1"/>
  <c r="L86" i="1"/>
  <c r="O85" i="1"/>
  <c r="N85" i="1"/>
  <c r="M85" i="1"/>
  <c r="L85" i="1"/>
  <c r="O84" i="1"/>
  <c r="N84" i="1"/>
  <c r="M84" i="1"/>
  <c r="L84" i="1"/>
  <c r="O83" i="1"/>
  <c r="N83" i="1"/>
  <c r="M83" i="1"/>
  <c r="L83" i="1"/>
  <c r="O82" i="1"/>
  <c r="N82" i="1"/>
  <c r="M82" i="1"/>
  <c r="L82" i="1"/>
  <c r="O81" i="1"/>
  <c r="N81" i="1"/>
  <c r="M81" i="1"/>
  <c r="L81" i="1"/>
  <c r="O80" i="1"/>
  <c r="N80" i="1"/>
  <c r="M80" i="1"/>
  <c r="L80" i="1"/>
  <c r="O79" i="1"/>
  <c r="N79" i="1"/>
  <c r="M79" i="1"/>
  <c r="L79" i="1"/>
  <c r="O78" i="1"/>
  <c r="N78" i="1"/>
  <c r="M78" i="1"/>
  <c r="L78" i="1"/>
  <c r="O77" i="1"/>
  <c r="N77" i="1"/>
  <c r="M77" i="1"/>
  <c r="L77" i="1"/>
  <c r="T52" i="1" l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" i="1"/>
  <c r="O66" i="1" l="1"/>
  <c r="O67" i="1"/>
  <c r="O68" i="1"/>
  <c r="O69" i="1"/>
  <c r="O70" i="1"/>
  <c r="O71" i="1"/>
  <c r="O72" i="1"/>
  <c r="O73" i="1"/>
  <c r="N66" i="1"/>
  <c r="N67" i="1"/>
  <c r="N68" i="1"/>
  <c r="N69" i="1"/>
  <c r="N70" i="1"/>
  <c r="N71" i="1"/>
  <c r="N72" i="1"/>
  <c r="N73" i="1"/>
  <c r="M66" i="1"/>
  <c r="M67" i="1"/>
  <c r="M68" i="1"/>
  <c r="M69" i="1"/>
  <c r="M70" i="1"/>
  <c r="M71" i="1"/>
  <c r="M72" i="1"/>
  <c r="M73" i="1"/>
  <c r="L66" i="1"/>
  <c r="L67" i="1"/>
  <c r="L68" i="1"/>
  <c r="L69" i="1"/>
  <c r="L70" i="1"/>
  <c r="L71" i="1"/>
  <c r="L72" i="1"/>
  <c r="L73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27" i="1"/>
  <c r="N29" i="1"/>
  <c r="N28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2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</calcChain>
</file>

<file path=xl/sharedStrings.xml><?xml version="1.0" encoding="utf-8"?>
<sst xmlns="http://schemas.openxmlformats.org/spreadsheetml/2006/main" count="137" uniqueCount="31">
  <si>
    <t>p-value -</t>
  </si>
  <si>
    <t>down -</t>
  </si>
  <si>
    <t>up -</t>
  </si>
  <si>
    <t>beta -</t>
  </si>
  <si>
    <t>c -</t>
  </si>
  <si>
    <t>k -</t>
  </si>
  <si>
    <t>k12 -</t>
  </si>
  <si>
    <t>k13 -</t>
  </si>
  <si>
    <t>k14 -</t>
  </si>
  <si>
    <t>k21 -</t>
  </si>
  <si>
    <t>k31 -</t>
  </si>
  <si>
    <t>k32 -</t>
  </si>
  <si>
    <t>k41 -</t>
  </si>
  <si>
    <t>k42 -</t>
  </si>
  <si>
    <t>k51 -</t>
  </si>
  <si>
    <t>k61 -</t>
  </si>
  <si>
    <t>k71 -</t>
  </si>
  <si>
    <t>k72 -</t>
  </si>
  <si>
    <t>k73 -</t>
  </si>
  <si>
    <t>n -</t>
  </si>
  <si>
    <t>t3 -</t>
  </si>
  <si>
    <t>t4 -</t>
  </si>
  <si>
    <t>t5 -</t>
  </si>
  <si>
    <t>vdc -</t>
  </si>
  <si>
    <t>idc -</t>
  </si>
  <si>
    <t>k31 Growth Rate</t>
  </si>
  <si>
    <t>k31 Ve Max</t>
  </si>
  <si>
    <t>NEW</t>
  </si>
  <si>
    <t>k31 Ve AUC</t>
  </si>
  <si>
    <t>k31 IFNe AUC</t>
  </si>
  <si>
    <t>k31 IFNe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</si>
</sst>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 (Body)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16" fillId="0" borderId="0" xfId="0" applyFont="1" applyAlignment="1">
      <alignment horizontal="center" vertical="top" textRotation="90"/>
    </xf>
    <xf numFmtId="164" fontId="0" fillId="33" borderId="0" xfId="0" applyNumberFormat="1" applyFill="1" applyAlignment="1">
      <alignment horizontal="center"/>
    </xf>
    <xf numFmtId="0" fontId="16" fillId="0" borderId="0" xfId="0" applyFont="1" applyAlignment="1">
      <alignment horizontal="right"/>
    </xf>
    <xf numFmtId="164" fontId="0" fillId="33" borderId="0" xfId="0" applyNumberFormat="1" applyFill="1"/>
    <xf numFmtId="164" fontId="0" fillId="0" borderId="0" xfId="0" applyNumberFormat="1" applyFill="1"/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26"/>
  <sheetViews>
    <sheetView tabSelected="1" topLeftCell="A80" workbookViewId="0">
      <selection activeCell="U99" sqref="U99"/>
    </sheetView>
  </sheetViews>
  <sheetFormatPr baseColWidth="10" defaultRowHeight="16" x14ac:dyDescent="0.2"/>
  <cols>
    <col min="11" max="11" width="6" bestFit="1" customWidth="1"/>
    <col min="12" max="12" width="5.6640625" bestFit="1" customWidth="1"/>
    <col min="13" max="13" width="9.33203125" bestFit="1" customWidth="1"/>
    <col min="14" max="14" width="9.33203125" style="10" customWidth="1"/>
    <col min="15" max="15" width="5.6640625" bestFit="1" customWidth="1"/>
  </cols>
  <sheetData>
    <row r="1" spans="1:26" ht="19" x14ac:dyDescent="0.25">
      <c r="L1" s="11" t="s">
        <v>25</v>
      </c>
      <c r="M1" s="12"/>
      <c r="N1" s="12"/>
      <c r="O1" s="12"/>
    </row>
    <row r="2" spans="1:26" x14ac:dyDescent="0.2">
      <c r="A2" s="1">
        <v>0.24894554354472501</v>
      </c>
      <c r="B2" s="1">
        <v>0.124572788236162</v>
      </c>
      <c r="C2" s="1">
        <v>0.119218835514457</v>
      </c>
      <c r="D2" s="1">
        <v>0.12972670803026801</v>
      </c>
      <c r="E2" s="1">
        <v>4.5455141558946202E-4</v>
      </c>
      <c r="F2" s="1">
        <v>0.36662296221320301</v>
      </c>
      <c r="G2" s="1">
        <v>0.117677418668477</v>
      </c>
      <c r="H2" s="1">
        <v>8.0737371603877908E-3</v>
      </c>
      <c r="I2" s="1">
        <v>-6.0246446808957096E-3</v>
      </c>
      <c r="K2" s="6" t="s">
        <v>3</v>
      </c>
      <c r="L2" s="5">
        <f>E2</f>
        <v>4.5455141558946202E-4</v>
      </c>
      <c r="M2" s="3">
        <f>D2/A2</f>
        <v>0.52110476123852201</v>
      </c>
      <c r="N2" s="3">
        <f>G2/A2</f>
        <v>0.47270345551429938</v>
      </c>
      <c r="O2" s="5">
        <f>H2</f>
        <v>8.0737371603877908E-3</v>
      </c>
      <c r="R2">
        <v>0.52110476123852201</v>
      </c>
      <c r="S2">
        <v>0.47270345551429938</v>
      </c>
      <c r="T2">
        <f>(ABS(R2)+ABS(S2))/2</f>
        <v>0.49690410837641069</v>
      </c>
      <c r="V2">
        <v>0.49690410837641069</v>
      </c>
      <c r="W2">
        <v>0</v>
      </c>
      <c r="X2">
        <v>0.27897574123989222</v>
      </c>
      <c r="Y2">
        <v>0</v>
      </c>
      <c r="Z2">
        <v>0</v>
      </c>
    </row>
    <row r="3" spans="1:26" x14ac:dyDescent="0.2">
      <c r="A3" s="1">
        <v>0.24894554354472501</v>
      </c>
      <c r="B3" s="1">
        <v>0.124572788236162</v>
      </c>
      <c r="C3" s="1">
        <v>0.92247135530246105</v>
      </c>
      <c r="D3" s="1">
        <v>-0.67352581175773496</v>
      </c>
      <c r="E3" s="1">
        <v>5.9018798320718498E-9</v>
      </c>
      <c r="F3" s="1">
        <v>7.4470545500823201E-2</v>
      </c>
      <c r="G3" s="1">
        <v>-0.17447499804390201</v>
      </c>
      <c r="H3" s="1">
        <v>7.86706822442191E-6</v>
      </c>
      <c r="I3" s="1">
        <v>0.24952540685691599</v>
      </c>
      <c r="K3" s="6" t="s">
        <v>4</v>
      </c>
      <c r="L3" s="5">
        <f t="shared" ref="L3:L23" si="0">E3</f>
        <v>5.9018798320718498E-9</v>
      </c>
      <c r="M3" s="3">
        <f t="shared" ref="M3:M23" si="1">D3/A3</f>
        <v>-2.7055146365242355</v>
      </c>
      <c r="N3" s="3">
        <f t="shared" ref="N3:N23" si="2">G3/A3</f>
        <v>-0.7008560810511405</v>
      </c>
      <c r="O3" s="5">
        <f t="shared" ref="O3:O23" si="3">H3</f>
        <v>7.86706822442191E-6</v>
      </c>
      <c r="R3">
        <v>-2.7055146365242355</v>
      </c>
      <c r="S3">
        <v>-0.7008560810511405</v>
      </c>
      <c r="T3">
        <f t="shared" ref="T3:T48" si="4">(ABS(R3)+ABS(S3))/2</f>
        <v>1.703185358787688</v>
      </c>
      <c r="V3">
        <v>1.703185358787688</v>
      </c>
      <c r="W3">
        <v>0.57841343534666323</v>
      </c>
      <c r="X3">
        <v>0.85175202156334229</v>
      </c>
      <c r="Y3">
        <v>0.15547405936000805</v>
      </c>
      <c r="Z3">
        <v>0.22284806855329342</v>
      </c>
    </row>
    <row r="4" spans="1:26" x14ac:dyDescent="0.2">
      <c r="A4" s="1">
        <v>0.24894554354472501</v>
      </c>
      <c r="B4" s="1">
        <v>0.124572788236162</v>
      </c>
      <c r="C4" s="1">
        <v>0.162033617944598</v>
      </c>
      <c r="D4" s="1">
        <v>8.6911925600127005E-2</v>
      </c>
      <c r="E4" s="1">
        <v>3.0619787516346701E-2</v>
      </c>
      <c r="F4" s="1">
        <v>0.30918536553047998</v>
      </c>
      <c r="G4" s="1">
        <v>6.0239821985754297E-2</v>
      </c>
      <c r="H4" s="1">
        <v>0.111385901889065</v>
      </c>
      <c r="I4" s="1">
        <v>-1.33360518071863E-2</v>
      </c>
      <c r="K4" s="6" t="s">
        <v>5</v>
      </c>
      <c r="L4" s="3">
        <f t="shared" si="0"/>
        <v>3.0619787516346701E-2</v>
      </c>
      <c r="M4" s="3">
        <f t="shared" si="1"/>
        <v>0.34912023072432546</v>
      </c>
      <c r="N4" s="3">
        <f t="shared" si="2"/>
        <v>0.24197991708548799</v>
      </c>
      <c r="O4" s="3">
        <f t="shared" si="3"/>
        <v>0.111385901889065</v>
      </c>
      <c r="R4">
        <v>0</v>
      </c>
      <c r="S4">
        <v>0</v>
      </c>
      <c r="T4">
        <f t="shared" si="4"/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">
      <c r="A5" s="1">
        <v>0.24894554354472501</v>
      </c>
      <c r="B5" s="1">
        <v>0.124572788236162</v>
      </c>
      <c r="C5" s="1">
        <v>0.24236565698472101</v>
      </c>
      <c r="D5" s="1">
        <v>6.57988656000479E-3</v>
      </c>
      <c r="E5" s="1">
        <v>0.88145744356207201</v>
      </c>
      <c r="F5" s="1">
        <v>0.22317446831364701</v>
      </c>
      <c r="G5" s="1">
        <v>-2.57710752310784E-2</v>
      </c>
      <c r="H5" s="1">
        <v>0.47572200869688702</v>
      </c>
      <c r="I5" s="1">
        <v>-1.6175480895541602E-2</v>
      </c>
      <c r="K5" s="6" t="s">
        <v>6</v>
      </c>
      <c r="L5" s="3">
        <f t="shared" si="0"/>
        <v>0.88145744356207201</v>
      </c>
      <c r="M5" s="3">
        <f t="shared" si="1"/>
        <v>2.6431027711177574E-2</v>
      </c>
      <c r="N5" s="3">
        <f t="shared" si="2"/>
        <v>-0.10352093419357968</v>
      </c>
      <c r="O5" s="3">
        <f t="shared" si="3"/>
        <v>0.47572200869688702</v>
      </c>
      <c r="R5">
        <v>0</v>
      </c>
      <c r="S5">
        <v>0</v>
      </c>
      <c r="T5">
        <f t="shared" si="4"/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">
      <c r="A6" s="1">
        <v>0.24894554354472501</v>
      </c>
      <c r="B6" s="1">
        <v>0.124572788236162</v>
      </c>
      <c r="C6" s="1">
        <v>0.19194145286415601</v>
      </c>
      <c r="D6" s="1">
        <v>5.7004090680569601E-2</v>
      </c>
      <c r="E6" s="1">
        <v>0.137967302561643</v>
      </c>
      <c r="F6" s="1">
        <v>0.235233379089308</v>
      </c>
      <c r="G6" s="1">
        <v>-1.37121644554179E-2</v>
      </c>
      <c r="H6" s="1">
        <v>0.75109095750068899</v>
      </c>
      <c r="I6" s="1">
        <v>-3.5358127567993801E-2</v>
      </c>
      <c r="K6" s="6" t="s">
        <v>7</v>
      </c>
      <c r="L6" s="3">
        <f t="shared" si="0"/>
        <v>0.137967302561643</v>
      </c>
      <c r="M6" s="3">
        <f t="shared" si="1"/>
        <v>0.22898216962991497</v>
      </c>
      <c r="N6" s="3">
        <f t="shared" si="2"/>
        <v>-5.5080979800525745E-2</v>
      </c>
      <c r="O6" s="3">
        <f t="shared" si="3"/>
        <v>0.75109095750068899</v>
      </c>
      <c r="R6">
        <v>0</v>
      </c>
      <c r="S6">
        <v>0</v>
      </c>
      <c r="T6">
        <f t="shared" si="4"/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">
      <c r="A7" s="1">
        <v>0.24894554354472501</v>
      </c>
      <c r="B7" s="1">
        <v>0.124572788236162</v>
      </c>
      <c r="C7" s="1">
        <v>1.3733532945562801</v>
      </c>
      <c r="D7" s="1">
        <v>-1.12440775101155</v>
      </c>
      <c r="E7" s="1">
        <v>1.1933353265302401E-8</v>
      </c>
      <c r="F7" s="1">
        <v>4.0407114235077299E-2</v>
      </c>
      <c r="G7" s="1">
        <v>-0.208538429309648</v>
      </c>
      <c r="H7" s="1">
        <v>4.9898137499064399E-7</v>
      </c>
      <c r="I7" s="1">
        <v>0.45793466085095502</v>
      </c>
      <c r="K7" s="6" t="s">
        <v>8</v>
      </c>
      <c r="L7" s="5">
        <f t="shared" si="0"/>
        <v>1.1933353265302401E-8</v>
      </c>
      <c r="M7" s="3">
        <f t="shared" si="1"/>
        <v>-4.5166815802410269</v>
      </c>
      <c r="N7" s="3">
        <f t="shared" si="2"/>
        <v>-0.83768693482228351</v>
      </c>
      <c r="O7" s="5">
        <f t="shared" si="3"/>
        <v>4.9898137499064399E-7</v>
      </c>
      <c r="R7">
        <v>-4.5166815802410269</v>
      </c>
      <c r="S7">
        <v>-0.83768693482228351</v>
      </c>
      <c r="T7">
        <f t="shared" si="4"/>
        <v>2.6771842575316551</v>
      </c>
      <c r="V7">
        <v>2.6771842575316551</v>
      </c>
      <c r="W7">
        <v>9.0760179412630093E-2</v>
      </c>
      <c r="X7">
        <v>1.0296495956873315</v>
      </c>
      <c r="Y7">
        <v>0.68426955835072567</v>
      </c>
      <c r="Z7">
        <v>0.77939413042511396</v>
      </c>
    </row>
    <row r="8" spans="1:26" x14ac:dyDescent="0.2">
      <c r="A8" s="1">
        <v>0.24894554354472501</v>
      </c>
      <c r="B8" s="1">
        <v>0.124572788236162</v>
      </c>
      <c r="C8" s="1">
        <v>0.35323844449839698</v>
      </c>
      <c r="D8" s="1">
        <v>-0.104292900953671</v>
      </c>
      <c r="E8" s="1">
        <v>3.1401663807127098E-2</v>
      </c>
      <c r="F8" s="1">
        <v>0.172528483703691</v>
      </c>
      <c r="G8" s="1">
        <v>-7.6417059841034196E-2</v>
      </c>
      <c r="H8" s="1">
        <v>3.3114925380466599E-2</v>
      </c>
      <c r="I8" s="1">
        <v>1.3937920556318499E-2</v>
      </c>
      <c r="K8" s="6" t="s">
        <v>9</v>
      </c>
      <c r="L8" s="3">
        <f t="shared" si="0"/>
        <v>3.1401663807127098E-2</v>
      </c>
      <c r="M8" s="3">
        <f t="shared" si="1"/>
        <v>-0.41893861391792286</v>
      </c>
      <c r="N8" s="3">
        <f t="shared" si="2"/>
        <v>-0.30696295564457565</v>
      </c>
      <c r="O8" s="3">
        <f t="shared" si="3"/>
        <v>3.3114925380466599E-2</v>
      </c>
      <c r="R8">
        <v>0</v>
      </c>
      <c r="S8">
        <v>0</v>
      </c>
      <c r="T8">
        <f t="shared" si="4"/>
        <v>0</v>
      </c>
      <c r="V8">
        <v>0</v>
      </c>
      <c r="W8">
        <v>0</v>
      </c>
      <c r="X8">
        <v>0</v>
      </c>
      <c r="Y8">
        <v>5.5919158613131549E-2</v>
      </c>
      <c r="Z8">
        <v>0</v>
      </c>
    </row>
    <row r="9" spans="1:26" x14ac:dyDescent="0.2">
      <c r="A9" s="1">
        <v>0.24894554354472501</v>
      </c>
      <c r="B9" s="1">
        <v>0.124572788236162</v>
      </c>
      <c r="C9" s="1">
        <v>1.51940546943097</v>
      </c>
      <c r="D9" s="1">
        <v>-1.2704599258862499</v>
      </c>
      <c r="E9" s="1">
        <v>1.2897838129315699E-12</v>
      </c>
      <c r="F9" s="1">
        <v>2.6108702327999299E-2</v>
      </c>
      <c r="G9" s="1">
        <v>-0.22283684121672601</v>
      </c>
      <c r="H9" s="1">
        <v>2.1256938262521099E-7</v>
      </c>
      <c r="I9" s="1">
        <v>0.52381154233476301</v>
      </c>
      <c r="K9" s="6" t="s">
        <v>10</v>
      </c>
      <c r="L9" s="5">
        <f t="shared" si="0"/>
        <v>1.2897838129315699E-12</v>
      </c>
      <c r="M9" s="3">
        <f t="shared" si="1"/>
        <v>-5.1033648074041613</v>
      </c>
      <c r="N9" s="3">
        <f t="shared" si="2"/>
        <v>-0.89512283708220564</v>
      </c>
      <c r="O9" s="5">
        <f t="shared" si="3"/>
        <v>2.1256938262521099E-7</v>
      </c>
      <c r="R9">
        <v>-5.1033648074041613</v>
      </c>
      <c r="S9">
        <v>-0.89512283708220564</v>
      </c>
      <c r="T9">
        <f t="shared" si="4"/>
        <v>2.9992438222431836</v>
      </c>
      <c r="V9">
        <v>2.9992438222431836</v>
      </c>
      <c r="W9">
        <v>8.9549496956990438E-2</v>
      </c>
      <c r="X9">
        <v>1.2708894878706201</v>
      </c>
      <c r="Y9">
        <v>0.73178629912509296</v>
      </c>
      <c r="Z9">
        <v>0.85074969128179845</v>
      </c>
    </row>
    <row r="10" spans="1:26" x14ac:dyDescent="0.2">
      <c r="A10" s="1">
        <v>0.24894554354472501</v>
      </c>
      <c r="B10" s="1">
        <v>0.124572788236162</v>
      </c>
      <c r="C10" s="1">
        <v>2.10790323753468E-2</v>
      </c>
      <c r="D10" s="1">
        <v>0.227866511169379</v>
      </c>
      <c r="E10" s="1">
        <v>1.6008333555323299E-7</v>
      </c>
      <c r="F10" s="1">
        <v>1.10145430387694</v>
      </c>
      <c r="G10" s="1">
        <v>0.85250876033222101</v>
      </c>
      <c r="H10" s="1">
        <v>4.8253075324830697E-7</v>
      </c>
      <c r="I10" s="1">
        <v>0.31232112458142097</v>
      </c>
      <c r="K10" s="6" t="s">
        <v>11</v>
      </c>
      <c r="L10" s="5">
        <f t="shared" si="0"/>
        <v>1.6008333555323299E-7</v>
      </c>
      <c r="M10" s="3">
        <f t="shared" si="1"/>
        <v>0.91532673340842918</v>
      </c>
      <c r="N10" s="3">
        <f t="shared" si="2"/>
        <v>3.4244788968438038</v>
      </c>
      <c r="O10" s="5">
        <f t="shared" si="3"/>
        <v>4.8253075324830697E-7</v>
      </c>
      <c r="R10">
        <v>0.91532673340842918</v>
      </c>
      <c r="S10">
        <v>3.4244788968438038</v>
      </c>
      <c r="T10">
        <f t="shared" si="4"/>
        <v>2.1699028151261164</v>
      </c>
      <c r="V10">
        <v>2.1699028151261164</v>
      </c>
      <c r="W10">
        <v>0.11339374316352357</v>
      </c>
      <c r="X10">
        <v>0.81266846361185985</v>
      </c>
      <c r="Y10">
        <v>0.45508101105420223</v>
      </c>
      <c r="Z10">
        <v>0.56946428152236528</v>
      </c>
    </row>
    <row r="11" spans="1:26" x14ac:dyDescent="0.2">
      <c r="A11" s="1">
        <v>0.24894554354472501</v>
      </c>
      <c r="B11" s="1">
        <v>0.124572788236162</v>
      </c>
      <c r="C11" s="1">
        <v>1.32954913617786</v>
      </c>
      <c r="D11" s="1">
        <v>-1.0806035926331401</v>
      </c>
      <c r="E11" s="1">
        <v>1.8090315878570599E-7</v>
      </c>
      <c r="F11" s="1">
        <v>3.0931935788471199E-2</v>
      </c>
      <c r="G11" s="1">
        <v>-0.218013607756254</v>
      </c>
      <c r="H11" s="1">
        <v>2.7589595944077401E-7</v>
      </c>
      <c r="I11" s="1">
        <v>0.43129499243844399</v>
      </c>
      <c r="K11" s="6" t="s">
        <v>12</v>
      </c>
      <c r="L11" s="5">
        <f t="shared" si="0"/>
        <v>1.8090315878570599E-7</v>
      </c>
      <c r="M11" s="3">
        <f t="shared" si="1"/>
        <v>-4.3407227831696504</v>
      </c>
      <c r="N11" s="3">
        <f t="shared" si="2"/>
        <v>-0.87574818432966306</v>
      </c>
      <c r="O11" s="5">
        <f t="shared" si="3"/>
        <v>2.7589595944077401E-7</v>
      </c>
      <c r="R11">
        <v>-4.3407227831696504</v>
      </c>
      <c r="S11">
        <v>-0.87574818432966306</v>
      </c>
      <c r="T11">
        <f t="shared" si="4"/>
        <v>2.6082354837496569</v>
      </c>
      <c r="V11">
        <v>2.6082354837496569</v>
      </c>
      <c r="W11">
        <v>9.6776511195187945E-2</v>
      </c>
      <c r="X11">
        <v>1.0377358490566038</v>
      </c>
      <c r="Y11">
        <v>0.67639800897991043</v>
      </c>
      <c r="Z11">
        <v>0.7689819413424348</v>
      </c>
    </row>
    <row r="12" spans="1:26" x14ac:dyDescent="0.2">
      <c r="A12" s="1">
        <v>0.24894554354472501</v>
      </c>
      <c r="B12" s="1">
        <v>0.124572788236162</v>
      </c>
      <c r="C12" s="1">
        <v>0.28923883067044298</v>
      </c>
      <c r="D12" s="1">
        <v>-4.0293287125717898E-2</v>
      </c>
      <c r="E12" s="1">
        <v>0.35827234366478899</v>
      </c>
      <c r="F12" s="1">
        <v>0.18750168637475401</v>
      </c>
      <c r="G12" s="1">
        <v>-6.14438571699715E-2</v>
      </c>
      <c r="H12" s="1">
        <v>8.6903309014705096E-2</v>
      </c>
      <c r="I12" s="1">
        <v>-1.0575285022126801E-2</v>
      </c>
      <c r="K12" s="6" t="s">
        <v>13</v>
      </c>
      <c r="L12" s="9">
        <f t="shared" si="0"/>
        <v>0.35827234366478899</v>
      </c>
      <c r="M12" s="3">
        <f t="shared" si="1"/>
        <v>-0.16185582819432515</v>
      </c>
      <c r="N12" s="3">
        <f t="shared" si="2"/>
        <v>-0.24681645750743328</v>
      </c>
      <c r="O12" s="3">
        <f t="shared" si="3"/>
        <v>8.6903309014705096E-2</v>
      </c>
      <c r="R12">
        <v>0</v>
      </c>
      <c r="S12">
        <v>0</v>
      </c>
      <c r="T12">
        <f t="shared" si="4"/>
        <v>0</v>
      </c>
      <c r="V12">
        <v>0</v>
      </c>
      <c r="W12">
        <v>0</v>
      </c>
      <c r="X12">
        <v>0</v>
      </c>
      <c r="Y12">
        <v>0.57150130217978579</v>
      </c>
      <c r="Z12">
        <v>0.45183469731445047</v>
      </c>
    </row>
    <row r="13" spans="1:26" x14ac:dyDescent="0.2">
      <c r="A13" s="1">
        <v>0.24894554354472501</v>
      </c>
      <c r="B13" s="1">
        <v>0.124572788236162</v>
      </c>
      <c r="C13" s="1">
        <v>1.3128290295785101</v>
      </c>
      <c r="D13" s="1">
        <v>-1.06388348603378</v>
      </c>
      <c r="E13" s="1">
        <v>1.86180307953883E-6</v>
      </c>
      <c r="F13" s="1">
        <v>2.6290886891497299E-2</v>
      </c>
      <c r="G13" s="1">
        <v>-0.22265465665322801</v>
      </c>
      <c r="H13" s="1">
        <v>2.1782873268912601E-7</v>
      </c>
      <c r="I13" s="1">
        <v>0.42061441469027699</v>
      </c>
      <c r="K13" s="6" t="s">
        <v>14</v>
      </c>
      <c r="L13" s="5">
        <f t="shared" si="0"/>
        <v>1.86180307953883E-6</v>
      </c>
      <c r="M13" s="3">
        <f t="shared" si="1"/>
        <v>-4.2735590719367309</v>
      </c>
      <c r="N13" s="3">
        <f t="shared" si="2"/>
        <v>-0.894391012117983</v>
      </c>
      <c r="O13" s="5">
        <f t="shared" si="3"/>
        <v>2.1782873268912601E-7</v>
      </c>
      <c r="R13">
        <v>-4.2735590719367309</v>
      </c>
      <c r="S13">
        <v>-0.894391012117983</v>
      </c>
      <c r="T13">
        <f t="shared" si="4"/>
        <v>2.5839750420273568</v>
      </c>
      <c r="V13">
        <v>2.5839750420273568</v>
      </c>
      <c r="W13">
        <v>5.9846899168139081E-2</v>
      </c>
      <c r="X13">
        <v>0.98517520215633414</v>
      </c>
      <c r="Y13">
        <v>1.4763192880949054</v>
      </c>
      <c r="Z13">
        <v>1.388729891249447</v>
      </c>
    </row>
    <row r="14" spans="1:26" x14ac:dyDescent="0.2">
      <c r="A14" s="1">
        <v>0.24894554354472501</v>
      </c>
      <c r="B14" s="1">
        <v>0.124572788236162</v>
      </c>
      <c r="C14" s="1">
        <v>0.240305929477829</v>
      </c>
      <c r="D14" s="1">
        <v>8.6396140668964193E-3</v>
      </c>
      <c r="E14" s="1">
        <v>0.84056633123830105</v>
      </c>
      <c r="F14" s="1">
        <v>0.203385939784512</v>
      </c>
      <c r="G14" s="1">
        <v>-4.5559603760213598E-2</v>
      </c>
      <c r="H14" s="1">
        <v>0.27814600172784598</v>
      </c>
      <c r="I14" s="1">
        <v>-2.7099608913555E-2</v>
      </c>
      <c r="K14" s="6" t="s">
        <v>15</v>
      </c>
      <c r="L14" s="3">
        <f t="shared" si="0"/>
        <v>0.84056633123830105</v>
      </c>
      <c r="M14" s="3">
        <f t="shared" si="1"/>
        <v>3.4704835217683846E-2</v>
      </c>
      <c r="N14" s="3">
        <f t="shared" si="2"/>
        <v>-0.18301032069701806</v>
      </c>
      <c r="O14" s="3">
        <f t="shared" si="3"/>
        <v>0.27814600172784598</v>
      </c>
      <c r="R14">
        <v>0</v>
      </c>
      <c r="S14">
        <v>0</v>
      </c>
      <c r="T14">
        <f t="shared" si="4"/>
        <v>0</v>
      </c>
      <c r="V14">
        <v>0</v>
      </c>
      <c r="W14">
        <v>0.10996163918022583</v>
      </c>
      <c r="X14">
        <v>0</v>
      </c>
      <c r="Y14">
        <v>0</v>
      </c>
      <c r="Z14">
        <v>0</v>
      </c>
    </row>
    <row r="15" spans="1:26" x14ac:dyDescent="0.2">
      <c r="A15" s="1">
        <v>0.24894554354472501</v>
      </c>
      <c r="B15" s="1">
        <v>0.124572788236162</v>
      </c>
      <c r="C15" s="1">
        <v>1.9391902602840402E-2</v>
      </c>
      <c r="D15" s="1">
        <v>0.22955364094188499</v>
      </c>
      <c r="E15" s="1">
        <v>1.3570374655385299E-7</v>
      </c>
      <c r="F15" s="1">
        <v>1.7074578688317299</v>
      </c>
      <c r="G15" s="1">
        <v>1.45851232528701</v>
      </c>
      <c r="H15" s="1">
        <v>1.2084204033744599E-7</v>
      </c>
      <c r="I15" s="1">
        <v>0.61447934217256195</v>
      </c>
      <c r="K15" s="6" t="s">
        <v>16</v>
      </c>
      <c r="L15" s="5">
        <f t="shared" si="0"/>
        <v>1.3570374655385299E-7</v>
      </c>
      <c r="M15" s="3">
        <f t="shared" si="1"/>
        <v>0.92210383714157107</v>
      </c>
      <c r="N15" s="3">
        <f t="shared" si="2"/>
        <v>5.8587605326020906</v>
      </c>
      <c r="O15" s="5">
        <f t="shared" si="3"/>
        <v>1.2084204033744599E-7</v>
      </c>
      <c r="R15">
        <v>0.92210383714157107</v>
      </c>
      <c r="S15">
        <v>5.8587605326020906</v>
      </c>
      <c r="T15">
        <f t="shared" si="4"/>
        <v>3.3904321848718308</v>
      </c>
      <c r="V15">
        <v>3.3904321848718308</v>
      </c>
      <c r="W15">
        <v>1.6745997726667543</v>
      </c>
      <c r="X15">
        <v>2.904312668463612</v>
      </c>
      <c r="Y15">
        <v>0.26762975983124676</v>
      </c>
      <c r="Z15">
        <v>0.26817262118987545</v>
      </c>
    </row>
    <row r="16" spans="1:26" x14ac:dyDescent="0.2">
      <c r="A16" s="1">
        <v>0.24894554354472501</v>
      </c>
      <c r="B16" s="1">
        <v>0.124572788236162</v>
      </c>
      <c r="C16" s="1">
        <v>0.29667699653480201</v>
      </c>
      <c r="D16" s="1">
        <v>-4.7731452990077E-2</v>
      </c>
      <c r="E16" s="1">
        <v>0.21969649822517301</v>
      </c>
      <c r="F16" s="1">
        <v>0.18321121432971199</v>
      </c>
      <c r="G16" s="1">
        <v>-6.5734329215013598E-2</v>
      </c>
      <c r="H16" s="1">
        <v>0.10365409693665301</v>
      </c>
      <c r="I16" s="1">
        <v>-9.0014381124683095E-3</v>
      </c>
      <c r="K16" s="6" t="s">
        <v>17</v>
      </c>
      <c r="L16" s="3">
        <f t="shared" si="0"/>
        <v>0.21969649822517301</v>
      </c>
      <c r="M16" s="3">
        <f t="shared" si="1"/>
        <v>-0.19173451474740569</v>
      </c>
      <c r="N16" s="3">
        <f t="shared" si="2"/>
        <v>-0.26405103814683839</v>
      </c>
      <c r="O16" s="3">
        <f t="shared" si="3"/>
        <v>0.10365409693665301</v>
      </c>
      <c r="R16">
        <v>0</v>
      </c>
      <c r="S16">
        <v>0</v>
      </c>
      <c r="T16">
        <f t="shared" si="4"/>
        <v>0</v>
      </c>
      <c r="V16">
        <v>0</v>
      </c>
      <c r="W16">
        <v>0</v>
      </c>
      <c r="X16">
        <v>0.14824797843665768</v>
      </c>
      <c r="Y16">
        <v>0</v>
      </c>
      <c r="Z16">
        <v>0</v>
      </c>
    </row>
    <row r="17" spans="1:26" x14ac:dyDescent="0.2">
      <c r="A17" s="1">
        <v>0.24894554354472501</v>
      </c>
      <c r="B17" s="1">
        <v>0.124572788236162</v>
      </c>
      <c r="C17" s="1">
        <v>0.395149089863291</v>
      </c>
      <c r="D17" s="1">
        <v>-0.146203546318565</v>
      </c>
      <c r="E17" s="1">
        <v>7.0216978972193504E-3</v>
      </c>
      <c r="F17" s="1">
        <v>0.10468287454277</v>
      </c>
      <c r="G17" s="1">
        <v>-0.144262669001955</v>
      </c>
      <c r="H17" s="1">
        <v>2.05981252261111E-4</v>
      </c>
      <c r="I17" s="1">
        <v>9.7043865830501099E-4</v>
      </c>
      <c r="K17" s="6" t="s">
        <v>18</v>
      </c>
      <c r="L17" s="5">
        <f t="shared" si="0"/>
        <v>7.0216978972193504E-3</v>
      </c>
      <c r="M17" s="3">
        <f t="shared" si="1"/>
        <v>-0.58729127758938326</v>
      </c>
      <c r="N17" s="3">
        <f t="shared" si="2"/>
        <v>-0.57949488449483766</v>
      </c>
      <c r="O17" s="5">
        <f t="shared" si="3"/>
        <v>2.05981252261111E-4</v>
      </c>
      <c r="R17">
        <v>-0.58729127758938326</v>
      </c>
      <c r="S17">
        <v>-0.57949488449483766</v>
      </c>
      <c r="T17">
        <f t="shared" si="4"/>
        <v>0.58339308104211041</v>
      </c>
      <c r="V17">
        <v>0.58339308104211041</v>
      </c>
      <c r="W17">
        <v>0</v>
      </c>
      <c r="X17">
        <v>0.41778975741239899</v>
      </c>
      <c r="Y17">
        <v>0</v>
      </c>
      <c r="Z17">
        <v>0</v>
      </c>
    </row>
    <row r="18" spans="1:26" x14ac:dyDescent="0.2">
      <c r="A18" s="1">
        <v>0.24894554354472501</v>
      </c>
      <c r="B18" s="1">
        <v>0.124572788236162</v>
      </c>
      <c r="C18" s="1">
        <v>0.147865561724317</v>
      </c>
      <c r="D18" s="1">
        <v>0.101079981820408</v>
      </c>
      <c r="E18" s="1">
        <v>9.9185562921785993E-3</v>
      </c>
      <c r="F18" s="1">
        <v>0.29552373479248401</v>
      </c>
      <c r="G18" s="1">
        <v>4.6578191247758902E-2</v>
      </c>
      <c r="H18" s="1">
        <v>0.25001712893865402</v>
      </c>
      <c r="I18" s="1">
        <v>-2.72508952863245E-2</v>
      </c>
      <c r="K18" s="6" t="s">
        <v>19</v>
      </c>
      <c r="L18" s="5">
        <f t="shared" si="0"/>
        <v>9.9185562921785993E-3</v>
      </c>
      <c r="M18" s="3">
        <f t="shared" si="1"/>
        <v>0.40603250165130272</v>
      </c>
      <c r="N18" s="3">
        <f t="shared" si="2"/>
        <v>0.18710192833554687</v>
      </c>
      <c r="O18" s="3">
        <f t="shared" si="3"/>
        <v>0.25001712893865402</v>
      </c>
      <c r="R18">
        <v>0.40603250165130272</v>
      </c>
      <c r="S18">
        <v>0</v>
      </c>
      <c r="T18">
        <f t="shared" si="4"/>
        <v>0.20301625082565136</v>
      </c>
      <c r="V18">
        <v>0.20301625082565136</v>
      </c>
      <c r="W18">
        <v>0</v>
      </c>
      <c r="X18">
        <v>0</v>
      </c>
      <c r="Y18">
        <v>0</v>
      </c>
      <c r="Z18">
        <v>0</v>
      </c>
    </row>
    <row r="19" spans="1:26" x14ac:dyDescent="0.2">
      <c r="A19" s="1">
        <v>0.24894554354472501</v>
      </c>
      <c r="B19" s="1">
        <v>0.124572788236162</v>
      </c>
      <c r="C19" s="1">
        <v>0.17599977532300201</v>
      </c>
      <c r="D19" s="1">
        <v>7.2945768221723703E-2</v>
      </c>
      <c r="E19" s="1">
        <v>2.8236312049777001E-2</v>
      </c>
      <c r="F19" s="1">
        <v>0.335415367594325</v>
      </c>
      <c r="G19" s="1">
        <v>8.6469824049599603E-2</v>
      </c>
      <c r="H19" s="1">
        <v>8.3501814974296804E-2</v>
      </c>
      <c r="I19" s="1">
        <v>6.7620279139379499E-3</v>
      </c>
      <c r="K19" s="6" t="s">
        <v>20</v>
      </c>
      <c r="L19" s="9">
        <f t="shared" si="0"/>
        <v>2.8236312049777001E-2</v>
      </c>
      <c r="M19" s="3">
        <f t="shared" si="1"/>
        <v>0.29301897588947373</v>
      </c>
      <c r="N19" s="3">
        <f t="shared" si="2"/>
        <v>0.34734433409957638</v>
      </c>
      <c r="O19" s="3">
        <f t="shared" si="3"/>
        <v>8.3501814974296804E-2</v>
      </c>
      <c r="R19">
        <v>0</v>
      </c>
      <c r="S19">
        <v>0</v>
      </c>
      <c r="T19">
        <f t="shared" si="4"/>
        <v>0</v>
      </c>
      <c r="V19">
        <v>0</v>
      </c>
      <c r="W19">
        <v>0</v>
      </c>
      <c r="X19">
        <v>0</v>
      </c>
      <c r="Y19">
        <v>0.27577040634759797</v>
      </c>
      <c r="Z19">
        <v>0.27219848279963621</v>
      </c>
    </row>
    <row r="20" spans="1:26" x14ac:dyDescent="0.2">
      <c r="A20" s="1">
        <v>0.24894554354472501</v>
      </c>
      <c r="B20" s="1">
        <v>0.124572788236162</v>
      </c>
      <c r="C20" s="1">
        <v>7.2323618127311695E-2</v>
      </c>
      <c r="D20" s="1">
        <v>0.17662192541741401</v>
      </c>
      <c r="E20" s="1">
        <v>6.0510111826188104E-6</v>
      </c>
      <c r="F20" s="1">
        <v>0.40572753194894801</v>
      </c>
      <c r="G20" s="1">
        <v>0.156781988404222</v>
      </c>
      <c r="H20" s="1">
        <v>9.7301069983694206E-3</v>
      </c>
      <c r="I20" s="1">
        <v>-9.9199685065958203E-3</v>
      </c>
      <c r="K20" s="6" t="s">
        <v>21</v>
      </c>
      <c r="L20" s="5">
        <f t="shared" si="0"/>
        <v>6.0510111826188104E-6</v>
      </c>
      <c r="M20" s="3">
        <f t="shared" si="1"/>
        <v>0.70948016543096903</v>
      </c>
      <c r="N20" s="3">
        <f t="shared" si="2"/>
        <v>0.62978427398944337</v>
      </c>
      <c r="O20" s="5">
        <f t="shared" si="3"/>
        <v>9.7301069983694206E-3</v>
      </c>
      <c r="R20">
        <v>0.70948016543096903</v>
      </c>
      <c r="S20">
        <v>0.62978427398944337</v>
      </c>
      <c r="T20">
        <f t="shared" si="4"/>
        <v>0.66963221971020626</v>
      </c>
      <c r="V20">
        <v>0.66963221971020626</v>
      </c>
      <c r="W20">
        <v>0</v>
      </c>
      <c r="X20">
        <v>0.16846361185983827</v>
      </c>
      <c r="Y20">
        <v>1.2487002100567661</v>
      </c>
      <c r="Z20">
        <v>1.0799959774612145</v>
      </c>
    </row>
    <row r="21" spans="1:26" x14ac:dyDescent="0.2">
      <c r="A21" s="1">
        <v>0.24894554354472501</v>
      </c>
      <c r="B21" s="1">
        <v>0.124572788236162</v>
      </c>
      <c r="C21" s="1">
        <v>0.137859582363693</v>
      </c>
      <c r="D21" s="1">
        <v>0.11108596118103201</v>
      </c>
      <c r="E21" s="1">
        <v>1.4530998716237699E-3</v>
      </c>
      <c r="F21" s="1">
        <v>0.37236753575951098</v>
      </c>
      <c r="G21" s="1">
        <v>0.123421992214785</v>
      </c>
      <c r="H21" s="1">
        <v>1.3002122326243501E-2</v>
      </c>
      <c r="I21" s="1">
        <v>6.1680155168764503E-3</v>
      </c>
      <c r="K21" s="6" t="s">
        <v>22</v>
      </c>
      <c r="L21" s="5">
        <f t="shared" si="0"/>
        <v>1.4530998716237699E-3</v>
      </c>
      <c r="M21" s="3">
        <f t="shared" si="1"/>
        <v>0.44622594804985755</v>
      </c>
      <c r="N21" s="3">
        <f t="shared" si="2"/>
        <v>0.49577907865866772</v>
      </c>
      <c r="O21" s="3">
        <f t="shared" si="3"/>
        <v>1.3002122326243501E-2</v>
      </c>
      <c r="R21">
        <v>0.44622594804985755</v>
      </c>
      <c r="S21">
        <v>0</v>
      </c>
      <c r="T21">
        <f t="shared" si="4"/>
        <v>0.22311297402492877</v>
      </c>
      <c r="V21">
        <v>0.22311297402492877</v>
      </c>
      <c r="W21">
        <v>0</v>
      </c>
      <c r="X21">
        <v>0</v>
      </c>
      <c r="Y21">
        <v>0.77909413048437526</v>
      </c>
      <c r="Z21">
        <v>0.63372173880273341</v>
      </c>
    </row>
    <row r="22" spans="1:26" x14ac:dyDescent="0.2">
      <c r="A22" s="1">
        <v>0.24894554354472501</v>
      </c>
      <c r="B22" s="1">
        <v>0.124572788236162</v>
      </c>
      <c r="C22" s="1">
        <v>1.00777836326964E-2</v>
      </c>
      <c r="D22" s="1">
        <v>0.23886775991202899</v>
      </c>
      <c r="E22" s="1">
        <v>8.2965573184827595E-8</v>
      </c>
      <c r="F22" s="1">
        <v>1.56272961189698</v>
      </c>
      <c r="G22" s="1">
        <v>1.3137840683522499</v>
      </c>
      <c r="H22" s="1">
        <v>1.84526898284792E-8</v>
      </c>
      <c r="I22" s="1">
        <v>0.537458154220115</v>
      </c>
      <c r="K22" s="6" t="s">
        <v>23</v>
      </c>
      <c r="L22" s="5">
        <f t="shared" si="0"/>
        <v>8.2965573184827595E-8</v>
      </c>
      <c r="M22" s="3">
        <f t="shared" si="1"/>
        <v>0.95951811995025549</v>
      </c>
      <c r="N22" s="3">
        <f t="shared" si="2"/>
        <v>5.2773954080291396</v>
      </c>
      <c r="O22" s="5">
        <f t="shared" si="3"/>
        <v>1.84526898284792E-8</v>
      </c>
      <c r="R22">
        <v>0.95951811995025549</v>
      </c>
      <c r="S22">
        <v>5.2773954080291396</v>
      </c>
      <c r="T22">
        <f t="shared" si="4"/>
        <v>3.1184567639896974</v>
      </c>
      <c r="V22">
        <v>3.1184567639896974</v>
      </c>
      <c r="W22">
        <v>0.76630285755171634</v>
      </c>
      <c r="X22">
        <v>1.2870619946091644</v>
      </c>
      <c r="Y22">
        <v>0.31566511972646755</v>
      </c>
      <c r="Z22">
        <v>0.40784099165000059</v>
      </c>
    </row>
    <row r="23" spans="1:26" x14ac:dyDescent="0.2">
      <c r="A23" s="1">
        <v>0.24894554354472501</v>
      </c>
      <c r="B23" s="1">
        <v>0.124572788236162</v>
      </c>
      <c r="C23" s="1">
        <v>1.37507103137038</v>
      </c>
      <c r="D23" s="1">
        <v>-1.1261254878256499</v>
      </c>
      <c r="E23" s="1">
        <v>8.5675974696388398E-7</v>
      </c>
      <c r="F23" s="1">
        <v>2.85450764267734E-2</v>
      </c>
      <c r="G23" s="1">
        <v>-0.220400467117952</v>
      </c>
      <c r="H23" s="1">
        <v>2.4381176112314598E-7</v>
      </c>
      <c r="I23" s="1">
        <v>0.452862510353852</v>
      </c>
      <c r="K23" s="6" t="s">
        <v>24</v>
      </c>
      <c r="L23" s="5">
        <f t="shared" si="0"/>
        <v>8.5675974696388398E-7</v>
      </c>
      <c r="M23" s="3">
        <f t="shared" si="1"/>
        <v>-4.5235816307084553</v>
      </c>
      <c r="N23" s="3">
        <f t="shared" si="2"/>
        <v>-0.88533606177350721</v>
      </c>
      <c r="O23" s="5">
        <f t="shared" si="3"/>
        <v>2.4381176112314598E-7</v>
      </c>
      <c r="R23">
        <v>-4.5235816307084553</v>
      </c>
      <c r="S23">
        <v>-0.88533606177350721</v>
      </c>
      <c r="T23">
        <f t="shared" si="4"/>
        <v>2.7044588462409811</v>
      </c>
      <c r="V23">
        <v>2.7044588462409811</v>
      </c>
      <c r="W23">
        <v>2.1474175925020985E-2</v>
      </c>
      <c r="X23">
        <v>0.87735849056603776</v>
      </c>
      <c r="Y23">
        <v>0.45906608327381365</v>
      </c>
      <c r="Z23">
        <v>0.51900717943355568</v>
      </c>
    </row>
    <row r="24" spans="1:26" ht="51" x14ac:dyDescent="0.2">
      <c r="L24" s="4" t="s">
        <v>0</v>
      </c>
      <c r="M24" s="4" t="s">
        <v>1</v>
      </c>
      <c r="N24" s="4" t="s">
        <v>2</v>
      </c>
      <c r="O24" s="4" t="s">
        <v>0</v>
      </c>
    </row>
    <row r="26" spans="1:26" ht="19" x14ac:dyDescent="0.25">
      <c r="L26" s="11" t="s">
        <v>26</v>
      </c>
      <c r="M26" s="12"/>
      <c r="N26" s="12"/>
      <c r="O26" s="12"/>
    </row>
    <row r="27" spans="1:26" x14ac:dyDescent="0.2">
      <c r="A27" s="1">
        <v>0.25953779294999901</v>
      </c>
      <c r="B27" s="1">
        <v>8.8627018185440498E-2</v>
      </c>
      <c r="C27" s="1">
        <v>0.31110331499999899</v>
      </c>
      <c r="D27" s="1">
        <v>-5.156552205E-2</v>
      </c>
      <c r="E27" s="1">
        <v>0.46898984144410399</v>
      </c>
      <c r="F27" s="1">
        <v>0.240255510549999</v>
      </c>
      <c r="G27" s="1">
        <v>-1.9282282399999899E-2</v>
      </c>
      <c r="H27" s="1">
        <v>2.28270737343527E-2</v>
      </c>
      <c r="I27" s="1">
        <v>1.6141619824999998E-2</v>
      </c>
      <c r="K27" s="6" t="s">
        <v>3</v>
      </c>
      <c r="L27" s="3">
        <f>E27</f>
        <v>0.46898984144410399</v>
      </c>
      <c r="M27" s="3">
        <f>D27/A27</f>
        <v>-0.19868213204669696</v>
      </c>
      <c r="N27" s="3">
        <f>G27/A27</f>
        <v>-7.4294699746154921E-2</v>
      </c>
      <c r="O27" s="3">
        <f>H27</f>
        <v>2.28270737343527E-2</v>
      </c>
      <c r="R27">
        <v>0</v>
      </c>
      <c r="S27">
        <v>0</v>
      </c>
      <c r="T27">
        <f t="shared" si="4"/>
        <v>0</v>
      </c>
    </row>
    <row r="28" spans="1:26" x14ac:dyDescent="0.2">
      <c r="A28" s="1">
        <v>0.25953779294999901</v>
      </c>
      <c r="B28" s="1">
        <v>8.8627018185440498E-2</v>
      </c>
      <c r="C28" s="1">
        <v>0.17273349205499899</v>
      </c>
      <c r="D28" s="1">
        <v>8.6804300894999895E-2</v>
      </c>
      <c r="E28" s="1">
        <v>6.48678928034219E-7</v>
      </c>
      <c r="F28" s="1">
        <v>0.47297378489999897</v>
      </c>
      <c r="G28" s="1">
        <v>0.21343599194999999</v>
      </c>
      <c r="H28" s="1">
        <v>1.9165300451086599E-3</v>
      </c>
      <c r="I28" s="1">
        <v>6.3315845527499998E-2</v>
      </c>
      <c r="K28" s="6" t="s">
        <v>4</v>
      </c>
      <c r="L28" s="5">
        <f t="shared" ref="L28:L64" si="5">E28</f>
        <v>6.48678928034219E-7</v>
      </c>
      <c r="M28" s="3">
        <f t="shared" ref="M28:M64" si="6">D28/A28</f>
        <v>0.33445726692961086</v>
      </c>
      <c r="N28" s="3">
        <f t="shared" ref="N28:N64" si="7">G28/A28</f>
        <v>0.82236960376371571</v>
      </c>
      <c r="O28" s="5">
        <f t="shared" ref="O28:O64" si="8">H28</f>
        <v>1.9165300451086599E-3</v>
      </c>
      <c r="R28">
        <v>0.33445726692961086</v>
      </c>
      <c r="S28">
        <v>0.82236960376371571</v>
      </c>
      <c r="T28">
        <f t="shared" si="4"/>
        <v>0.57841343534666323</v>
      </c>
    </row>
    <row r="29" spans="1:26" x14ac:dyDescent="0.2">
      <c r="A29" s="1">
        <v>0.25953779294999901</v>
      </c>
      <c r="B29" s="1">
        <v>8.8627018185440498E-2</v>
      </c>
      <c r="C29" s="1">
        <v>0.31071575499999898</v>
      </c>
      <c r="D29" s="1">
        <v>-5.1177962049999998E-2</v>
      </c>
      <c r="E29" s="1">
        <v>7.1964064907561895E-2</v>
      </c>
      <c r="F29" s="1">
        <v>0.19640262224899899</v>
      </c>
      <c r="G29" s="1">
        <v>-6.3135170700999901E-2</v>
      </c>
      <c r="H29" s="1">
        <v>2.5509479007645799E-2</v>
      </c>
      <c r="I29" s="1">
        <v>-5.9786043254999796E-3</v>
      </c>
      <c r="K29" s="6" t="s">
        <v>5</v>
      </c>
      <c r="L29" s="3">
        <f t="shared" si="5"/>
        <v>7.1964064907561895E-2</v>
      </c>
      <c r="M29" s="3">
        <f t="shared" si="6"/>
        <v>-0.1971888620469992</v>
      </c>
      <c r="N29" s="3">
        <f>G29/A29</f>
        <v>-0.24326002769532351</v>
      </c>
      <c r="O29" s="3">
        <f t="shared" si="8"/>
        <v>2.5509479007645799E-2</v>
      </c>
      <c r="R29">
        <v>0</v>
      </c>
      <c r="S29">
        <v>0</v>
      </c>
      <c r="T29">
        <f t="shared" si="4"/>
        <v>0</v>
      </c>
    </row>
    <row r="30" spans="1:26" x14ac:dyDescent="0.2">
      <c r="A30" s="1">
        <v>0.25953779294999901</v>
      </c>
      <c r="B30" s="1">
        <v>8.8627018185440498E-2</v>
      </c>
      <c r="C30" s="1">
        <v>0.29397887</v>
      </c>
      <c r="D30" s="1">
        <v>-3.4441077049999998E-2</v>
      </c>
      <c r="E30" s="1">
        <v>0.88161188884573605</v>
      </c>
      <c r="F30" s="1">
        <v>0.25525113592999998</v>
      </c>
      <c r="G30" s="1">
        <v>-4.2866570199999099E-3</v>
      </c>
      <c r="H30" s="1">
        <v>0.111090853762842</v>
      </c>
      <c r="I30" s="1">
        <v>1.5077210015E-2</v>
      </c>
      <c r="K30" s="6" t="s">
        <v>6</v>
      </c>
      <c r="L30" s="3">
        <f t="shared" si="5"/>
        <v>0.88161188884573605</v>
      </c>
      <c r="M30" s="3">
        <f t="shared" si="6"/>
        <v>-0.13270158715048952</v>
      </c>
      <c r="N30" s="3">
        <f t="shared" si="7"/>
        <v>-1.6516504094745661E-2</v>
      </c>
      <c r="O30" s="3">
        <f t="shared" si="8"/>
        <v>0.111090853762842</v>
      </c>
      <c r="R30">
        <v>0</v>
      </c>
      <c r="S30">
        <v>0</v>
      </c>
      <c r="T30">
        <f t="shared" si="4"/>
        <v>0</v>
      </c>
    </row>
    <row r="31" spans="1:26" x14ac:dyDescent="0.2">
      <c r="A31" s="1">
        <v>0.25953779294999901</v>
      </c>
      <c r="B31" s="1">
        <v>8.8627018185440498E-2</v>
      </c>
      <c r="C31" s="1">
        <v>0.25836281432499902</v>
      </c>
      <c r="D31" s="1">
        <v>1.1749786249999801E-3</v>
      </c>
      <c r="E31" s="1">
        <v>0.45283520473431199</v>
      </c>
      <c r="F31" s="1">
        <v>0.234398769265</v>
      </c>
      <c r="G31" s="1">
        <v>-2.51390236849999E-2</v>
      </c>
      <c r="H31" s="1">
        <v>0.97171489812057699</v>
      </c>
      <c r="I31" s="1">
        <v>-1.31570011549999E-2</v>
      </c>
      <c r="K31" s="6" t="s">
        <v>7</v>
      </c>
      <c r="L31" s="3">
        <f t="shared" si="5"/>
        <v>0.45283520473431199</v>
      </c>
      <c r="M31" s="3">
        <f t="shared" si="6"/>
        <v>4.5271966430967701E-3</v>
      </c>
      <c r="N31" s="3">
        <f t="shared" si="7"/>
        <v>-9.6860743860309517E-2</v>
      </c>
      <c r="O31" s="3">
        <f t="shared" si="8"/>
        <v>0.97171489812057699</v>
      </c>
      <c r="R31">
        <v>0</v>
      </c>
      <c r="S31">
        <v>0</v>
      </c>
      <c r="T31">
        <f t="shared" si="4"/>
        <v>0</v>
      </c>
    </row>
    <row r="32" spans="1:26" x14ac:dyDescent="0.2">
      <c r="A32" s="1">
        <v>0.25953779294999901</v>
      </c>
      <c r="B32" s="1">
        <v>8.8627018185440498E-2</v>
      </c>
      <c r="C32" s="1">
        <v>0.21242639964499899</v>
      </c>
      <c r="D32" s="1">
        <v>4.7111393304999902E-2</v>
      </c>
      <c r="E32" s="1">
        <v>9.0683697138025298E-5</v>
      </c>
      <c r="F32" s="1">
        <v>0.50947575420000002</v>
      </c>
      <c r="G32" s="1">
        <v>0.24993796125000001</v>
      </c>
      <c r="H32" s="1">
        <v>6.3419049829598201E-2</v>
      </c>
      <c r="I32" s="1">
        <v>0.1014132839725</v>
      </c>
      <c r="K32" s="6" t="s">
        <v>8</v>
      </c>
      <c r="L32" s="5">
        <f t="shared" si="5"/>
        <v>9.0683697138025298E-5</v>
      </c>
      <c r="M32" s="3">
        <f t="shared" si="6"/>
        <v>0.18152035882526019</v>
      </c>
      <c r="N32" s="3">
        <f t="shared" si="7"/>
        <v>0.96301181577109096</v>
      </c>
      <c r="O32" s="3">
        <f t="shared" si="8"/>
        <v>6.3419049829598201E-2</v>
      </c>
      <c r="R32">
        <v>0.18152035882526019</v>
      </c>
      <c r="S32">
        <v>0</v>
      </c>
      <c r="T32">
        <f t="shared" si="4"/>
        <v>9.0760179412630093E-2</v>
      </c>
    </row>
    <row r="33" spans="1:20" x14ac:dyDescent="0.2">
      <c r="A33" s="1">
        <v>0.25953779294999901</v>
      </c>
      <c r="B33" s="1">
        <v>8.8627018185440498E-2</v>
      </c>
      <c r="C33" s="1">
        <v>0.27429349879999998</v>
      </c>
      <c r="D33" s="1">
        <v>-1.475570585E-2</v>
      </c>
      <c r="E33" s="1">
        <v>0.24962644274083301</v>
      </c>
      <c r="F33" s="1">
        <v>0.2905821811</v>
      </c>
      <c r="G33" s="1">
        <v>3.1044388150000098E-2</v>
      </c>
      <c r="H33" s="1">
        <v>0.56446826030379804</v>
      </c>
      <c r="I33" s="1">
        <v>2.2900047E-2</v>
      </c>
      <c r="K33" s="6" t="s">
        <v>9</v>
      </c>
      <c r="L33" s="3">
        <f t="shared" si="5"/>
        <v>0.24962644274083301</v>
      </c>
      <c r="M33" s="3">
        <f t="shared" si="6"/>
        <v>-5.6853784885358666E-2</v>
      </c>
      <c r="N33" s="3">
        <f t="shared" si="7"/>
        <v>0.11961413325257383</v>
      </c>
      <c r="O33" s="3">
        <f t="shared" si="8"/>
        <v>0.56446826030379804</v>
      </c>
      <c r="R33">
        <v>0</v>
      </c>
      <c r="S33">
        <v>0</v>
      </c>
      <c r="T33">
        <f t="shared" si="4"/>
        <v>0</v>
      </c>
    </row>
    <row r="34" spans="1:20" x14ac:dyDescent="0.2">
      <c r="A34" s="1">
        <v>0.25953779294999901</v>
      </c>
      <c r="B34" s="1">
        <v>8.8627018185440498E-2</v>
      </c>
      <c r="C34" s="1">
        <v>0.213054835349999</v>
      </c>
      <c r="D34" s="1">
        <v>4.6482957599999902E-2</v>
      </c>
      <c r="E34" s="1">
        <v>1.8754139620554099E-9</v>
      </c>
      <c r="F34" s="1">
        <v>0.59743250650000002</v>
      </c>
      <c r="G34" s="1">
        <v>0.33789471355</v>
      </c>
      <c r="H34" s="1">
        <v>8.1927768668228401E-2</v>
      </c>
      <c r="I34" s="1">
        <v>0.14570587797500001</v>
      </c>
      <c r="K34" s="6" t="s">
        <v>10</v>
      </c>
      <c r="L34" s="5">
        <f t="shared" si="5"/>
        <v>1.8754139620554099E-9</v>
      </c>
      <c r="M34" s="3">
        <f t="shared" si="6"/>
        <v>0.17909899391398088</v>
      </c>
      <c r="N34" s="3">
        <f t="shared" si="7"/>
        <v>1.3019094818884307</v>
      </c>
      <c r="O34" s="3">
        <f t="shared" si="8"/>
        <v>8.1927768668228401E-2</v>
      </c>
      <c r="R34">
        <v>0.17909899391398088</v>
      </c>
      <c r="S34">
        <v>0</v>
      </c>
      <c r="T34">
        <f t="shared" si="4"/>
        <v>8.9549496956990438E-2</v>
      </c>
    </row>
    <row r="35" spans="1:20" x14ac:dyDescent="0.2">
      <c r="A35" s="1">
        <v>0.25953779294999901</v>
      </c>
      <c r="B35" s="1">
        <v>8.8627018185440498E-2</v>
      </c>
      <c r="C35" s="1">
        <v>0.45830074914999902</v>
      </c>
      <c r="D35" s="1">
        <v>-0.19876295620000001</v>
      </c>
      <c r="E35" s="1">
        <v>2.5887761274347599E-2</v>
      </c>
      <c r="F35" s="1">
        <v>0.20067786928</v>
      </c>
      <c r="G35" s="1">
        <v>-5.8859923669999897E-2</v>
      </c>
      <c r="H35" s="1">
        <v>4.8729753070968001E-4</v>
      </c>
      <c r="I35" s="1">
        <v>6.9951516264999999E-2</v>
      </c>
      <c r="K35" s="6" t="s">
        <v>11</v>
      </c>
      <c r="L35" s="3">
        <f t="shared" si="5"/>
        <v>2.5887761274347599E-2</v>
      </c>
      <c r="M35" s="3">
        <f t="shared" si="6"/>
        <v>-0.76583434705516074</v>
      </c>
      <c r="N35" s="3">
        <f t="shared" si="7"/>
        <v>-0.22678748632704715</v>
      </c>
      <c r="O35" s="5">
        <f t="shared" si="8"/>
        <v>4.8729753070968001E-4</v>
      </c>
      <c r="R35">
        <v>0</v>
      </c>
      <c r="S35">
        <v>-0.22678748632704715</v>
      </c>
      <c r="T35">
        <f t="shared" si="4"/>
        <v>0.11339374316352357</v>
      </c>
    </row>
    <row r="36" spans="1:20" x14ac:dyDescent="0.2">
      <c r="A36" s="1">
        <v>0.25953779294999901</v>
      </c>
      <c r="B36" s="1">
        <v>8.8627018185440498E-2</v>
      </c>
      <c r="C36" s="1">
        <v>0.209303468699999</v>
      </c>
      <c r="D36" s="1">
        <v>5.02343242499999E-2</v>
      </c>
      <c r="E36" s="1">
        <v>2.2934586479453101E-4</v>
      </c>
      <c r="F36" s="1">
        <v>0.51063965066999994</v>
      </c>
      <c r="G36" s="1">
        <v>0.25110185771999999</v>
      </c>
      <c r="H36" s="1">
        <v>6.15974838057168E-2</v>
      </c>
      <c r="I36" s="1">
        <v>0.100433766735</v>
      </c>
      <c r="K36" s="6" t="s">
        <v>12</v>
      </c>
      <c r="L36" s="5">
        <f t="shared" si="5"/>
        <v>2.2934586479453101E-4</v>
      </c>
      <c r="M36" s="3">
        <f t="shared" si="6"/>
        <v>0.19355302239037589</v>
      </c>
      <c r="N36" s="3">
        <f t="shared" si="7"/>
        <v>0.96749631283323645</v>
      </c>
      <c r="O36" s="3">
        <f t="shared" si="8"/>
        <v>6.15974838057168E-2</v>
      </c>
      <c r="R36">
        <v>0.19355302239037589</v>
      </c>
      <c r="S36">
        <v>0</v>
      </c>
      <c r="T36">
        <f t="shared" si="4"/>
        <v>9.6776511195187945E-2</v>
      </c>
    </row>
    <row r="37" spans="1:20" x14ac:dyDescent="0.2">
      <c r="A37" s="1">
        <v>0.25953779294999901</v>
      </c>
      <c r="B37" s="1">
        <v>8.8627018185440498E-2</v>
      </c>
      <c r="C37" s="1">
        <v>0.26537260875000002</v>
      </c>
      <c r="D37" s="1">
        <v>-5.8348158000000499E-3</v>
      </c>
      <c r="E37" s="1">
        <v>0.71265304156975995</v>
      </c>
      <c r="F37" s="1">
        <v>0.26946157989999903</v>
      </c>
      <c r="G37" s="1">
        <v>9.9237869500000096E-3</v>
      </c>
      <c r="H37" s="1">
        <v>0.839733734829329</v>
      </c>
      <c r="I37" s="1">
        <v>7.8793013750000293E-3</v>
      </c>
      <c r="K37" s="6" t="s">
        <v>13</v>
      </c>
      <c r="L37" s="3">
        <f t="shared" si="5"/>
        <v>0.71265304156975995</v>
      </c>
      <c r="M37" s="3">
        <f t="shared" si="6"/>
        <v>-2.2481565145790347E-2</v>
      </c>
      <c r="N37" s="3">
        <f t="shared" si="7"/>
        <v>3.8236384910277275E-2</v>
      </c>
      <c r="O37" s="3">
        <f t="shared" si="8"/>
        <v>0.839733734829329</v>
      </c>
      <c r="R37">
        <v>0</v>
      </c>
      <c r="S37">
        <v>0</v>
      </c>
      <c r="T37">
        <f t="shared" si="4"/>
        <v>0</v>
      </c>
    </row>
    <row r="38" spans="1:20" x14ac:dyDescent="0.2">
      <c r="A38" s="1">
        <v>0.25953779294999901</v>
      </c>
      <c r="B38" s="1">
        <v>8.8627018185440498E-2</v>
      </c>
      <c r="C38" s="1">
        <v>0.22847272869999899</v>
      </c>
      <c r="D38" s="1">
        <v>3.1065064249999899E-2</v>
      </c>
      <c r="E38" s="1">
        <v>3.3800542318472601E-3</v>
      </c>
      <c r="F38" s="1">
        <v>0.47735349284999901</v>
      </c>
      <c r="G38" s="1">
        <v>0.21781569989999899</v>
      </c>
      <c r="H38" s="1">
        <v>0.20206137700869001</v>
      </c>
      <c r="I38" s="1">
        <v>9.3375317824999901E-2</v>
      </c>
      <c r="K38" s="6" t="s">
        <v>14</v>
      </c>
      <c r="L38" s="5">
        <f t="shared" si="5"/>
        <v>3.3800542318472601E-3</v>
      </c>
      <c r="M38" s="3">
        <f t="shared" si="6"/>
        <v>0.11969379833627816</v>
      </c>
      <c r="N38" s="3">
        <f t="shared" si="7"/>
        <v>0.83924463340859978</v>
      </c>
      <c r="O38" s="3">
        <f t="shared" si="8"/>
        <v>0.20206137700869001</v>
      </c>
      <c r="R38">
        <v>0.11969379833627816</v>
      </c>
      <c r="S38">
        <v>0</v>
      </c>
      <c r="T38">
        <f t="shared" si="4"/>
        <v>5.9846899168139081E-2</v>
      </c>
    </row>
    <row r="39" spans="1:20" x14ac:dyDescent="0.2">
      <c r="A39" s="1">
        <v>0.25953779294999901</v>
      </c>
      <c r="B39" s="1">
        <v>8.8627018185440498E-2</v>
      </c>
      <c r="C39" s="1">
        <v>0.20245939066599999</v>
      </c>
      <c r="D39" s="1">
        <v>5.70784022839999E-2</v>
      </c>
      <c r="E39" s="1">
        <v>5.01998548912905E-3</v>
      </c>
      <c r="F39" s="1">
        <v>0.34586742478999999</v>
      </c>
      <c r="G39" s="1">
        <v>8.6329631840000004E-2</v>
      </c>
      <c r="H39" s="1">
        <v>7.6657744319510404E-2</v>
      </c>
      <c r="I39" s="1">
        <v>1.4625614778E-2</v>
      </c>
      <c r="K39" s="6" t="s">
        <v>15</v>
      </c>
      <c r="L39" s="5">
        <f t="shared" si="5"/>
        <v>5.01998548912905E-3</v>
      </c>
      <c r="M39" s="3">
        <f t="shared" si="6"/>
        <v>0.21992327836045167</v>
      </c>
      <c r="N39" s="3">
        <f t="shared" si="7"/>
        <v>0.33262836544437963</v>
      </c>
      <c r="O39" s="9">
        <f t="shared" si="8"/>
        <v>7.6657744319510404E-2</v>
      </c>
      <c r="R39">
        <v>0.21992327836045167</v>
      </c>
      <c r="S39">
        <v>0</v>
      </c>
      <c r="T39">
        <f t="shared" si="4"/>
        <v>0.10996163918022583</v>
      </c>
    </row>
    <row r="40" spans="1:20" x14ac:dyDescent="0.2">
      <c r="A40" s="1">
        <v>0.25953779294999901</v>
      </c>
      <c r="B40" s="1">
        <v>8.8627018185440498E-2</v>
      </c>
      <c r="C40" s="1">
        <v>0.93817708899999996</v>
      </c>
      <c r="D40" s="1">
        <v>-0.67863929604999995</v>
      </c>
      <c r="E40" s="1">
        <v>6.1949688443763003E-9</v>
      </c>
      <c r="F40" s="1">
        <v>6.8933230854999902E-2</v>
      </c>
      <c r="G40" s="1">
        <v>-0.19060456209499901</v>
      </c>
      <c r="H40" s="1">
        <v>2.9876494114840401E-6</v>
      </c>
      <c r="I40" s="1">
        <v>0.24401736697750001</v>
      </c>
      <c r="K40" s="6" t="s">
        <v>16</v>
      </c>
      <c r="L40" s="5">
        <f t="shared" si="5"/>
        <v>6.1949688443763003E-9</v>
      </c>
      <c r="M40" s="3">
        <f t="shared" si="6"/>
        <v>-2.6147995185454262</v>
      </c>
      <c r="N40" s="3">
        <f t="shared" si="7"/>
        <v>-0.73440002678808225</v>
      </c>
      <c r="O40" s="5">
        <f t="shared" si="8"/>
        <v>2.9876494114840401E-6</v>
      </c>
      <c r="R40">
        <v>-2.6147995185454262</v>
      </c>
      <c r="S40">
        <v>-0.73440002678808225</v>
      </c>
      <c r="T40">
        <f t="shared" si="4"/>
        <v>1.6745997726667543</v>
      </c>
    </row>
    <row r="41" spans="1:20" x14ac:dyDescent="0.2">
      <c r="A41" s="1">
        <v>0.25953779294999901</v>
      </c>
      <c r="B41" s="1">
        <v>8.8627018185440498E-2</v>
      </c>
      <c r="C41" s="1">
        <v>0.24598258720499899</v>
      </c>
      <c r="D41" s="1">
        <v>1.3555205744999899E-2</v>
      </c>
      <c r="E41" s="1">
        <v>1.44943054079786E-2</v>
      </c>
      <c r="F41" s="1">
        <v>0.31786139000000002</v>
      </c>
      <c r="G41" s="1">
        <v>5.8323597050000002E-2</v>
      </c>
      <c r="H41" s="1">
        <v>0.66778191577197499</v>
      </c>
      <c r="I41" s="1">
        <v>2.2384195652500001E-2</v>
      </c>
      <c r="K41" s="6" t="s">
        <v>17</v>
      </c>
      <c r="L41" s="3">
        <f t="shared" si="5"/>
        <v>1.44943054079786E-2</v>
      </c>
      <c r="M41" s="3">
        <f t="shared" si="6"/>
        <v>5.2228253892917104E-2</v>
      </c>
      <c r="N41" s="3">
        <f t="shared" si="7"/>
        <v>0.224721018033918</v>
      </c>
      <c r="O41" s="3">
        <f t="shared" si="8"/>
        <v>0.66778191577197499</v>
      </c>
      <c r="R41">
        <v>0</v>
      </c>
      <c r="S41">
        <v>0</v>
      </c>
      <c r="T41">
        <f t="shared" si="4"/>
        <v>0</v>
      </c>
    </row>
    <row r="42" spans="1:20" x14ac:dyDescent="0.2">
      <c r="A42" s="1">
        <v>0.25953779294999901</v>
      </c>
      <c r="B42" s="1">
        <v>8.8627018185440498E-2</v>
      </c>
      <c r="C42" s="1">
        <v>0.22662953723500001</v>
      </c>
      <c r="D42" s="1">
        <v>3.2908255714999897E-2</v>
      </c>
      <c r="E42" s="1">
        <v>9.9784739483644302E-2</v>
      </c>
      <c r="F42" s="1">
        <v>0.31520094657999898</v>
      </c>
      <c r="G42" s="1">
        <v>5.5663153629999997E-2</v>
      </c>
      <c r="H42" s="1">
        <v>0.28244323238269797</v>
      </c>
      <c r="I42" s="1">
        <v>1.13774489575E-2</v>
      </c>
      <c r="K42" s="6" t="s">
        <v>18</v>
      </c>
      <c r="L42" s="9">
        <f t="shared" si="5"/>
        <v>9.9784739483644302E-2</v>
      </c>
      <c r="M42" s="3">
        <f t="shared" si="6"/>
        <v>0.12679562132725619</v>
      </c>
      <c r="N42" s="3">
        <f t="shared" si="7"/>
        <v>0.21447032047746403</v>
      </c>
      <c r="O42" s="9">
        <f t="shared" si="8"/>
        <v>0.28244323238269797</v>
      </c>
      <c r="R42">
        <v>0</v>
      </c>
      <c r="S42">
        <v>0</v>
      </c>
      <c r="T42">
        <f t="shared" si="4"/>
        <v>0</v>
      </c>
    </row>
    <row r="43" spans="1:20" x14ac:dyDescent="0.2">
      <c r="A43" s="1">
        <v>0.25953779294999901</v>
      </c>
      <c r="B43" s="1">
        <v>8.8627018185440498E-2</v>
      </c>
      <c r="C43" s="1">
        <v>0.32277663000000001</v>
      </c>
      <c r="D43" s="1">
        <v>-6.3238837049999996E-2</v>
      </c>
      <c r="E43" s="1">
        <v>0.31823783131101702</v>
      </c>
      <c r="F43" s="1">
        <v>0.22954130649000001</v>
      </c>
      <c r="G43" s="1">
        <v>-2.9996486459999899E-2</v>
      </c>
      <c r="H43" s="1">
        <v>1.18745497964295E-2</v>
      </c>
      <c r="I43" s="1">
        <v>1.6621175294999999E-2</v>
      </c>
      <c r="K43" s="6" t="s">
        <v>19</v>
      </c>
      <c r="L43" s="3">
        <f t="shared" si="5"/>
        <v>0.31823783131101702</v>
      </c>
      <c r="M43" s="3">
        <f t="shared" si="6"/>
        <v>-0.24365945449101978</v>
      </c>
      <c r="N43" s="3">
        <f t="shared" si="7"/>
        <v>-0.11557656447274652</v>
      </c>
      <c r="O43" s="3">
        <f t="shared" si="8"/>
        <v>1.18745497964295E-2</v>
      </c>
      <c r="R43">
        <v>0</v>
      </c>
      <c r="S43">
        <v>0</v>
      </c>
      <c r="T43">
        <f t="shared" si="4"/>
        <v>0</v>
      </c>
    </row>
    <row r="44" spans="1:20" x14ac:dyDescent="0.2">
      <c r="A44" s="1">
        <v>0.25953779294999901</v>
      </c>
      <c r="B44" s="1">
        <v>8.8627018185440498E-2</v>
      </c>
      <c r="C44" s="1">
        <v>0.29282585370199898</v>
      </c>
      <c r="D44" s="1">
        <v>-3.3288060751999998E-2</v>
      </c>
      <c r="E44" s="1">
        <v>0.332660308108573</v>
      </c>
      <c r="F44" s="1">
        <v>0.28027007500000001</v>
      </c>
      <c r="G44" s="1">
        <v>2.0732282049999998E-2</v>
      </c>
      <c r="H44" s="1">
        <v>0.21779506295432799</v>
      </c>
      <c r="I44" s="1">
        <v>2.7010171401E-2</v>
      </c>
      <c r="K44" s="6" t="s">
        <v>20</v>
      </c>
      <c r="L44" s="3">
        <f t="shared" si="5"/>
        <v>0.332660308108573</v>
      </c>
      <c r="M44" s="3">
        <f t="shared" si="6"/>
        <v>-0.12825901142810855</v>
      </c>
      <c r="N44" s="3">
        <f t="shared" si="7"/>
        <v>7.9881553335063443E-2</v>
      </c>
      <c r="O44" s="3">
        <f t="shared" si="8"/>
        <v>0.21779506295432799</v>
      </c>
      <c r="R44">
        <v>0</v>
      </c>
      <c r="S44">
        <v>0</v>
      </c>
      <c r="T44">
        <f t="shared" si="4"/>
        <v>0</v>
      </c>
    </row>
    <row r="45" spans="1:20" x14ac:dyDescent="0.2">
      <c r="A45" s="1">
        <v>0.25953779294999901</v>
      </c>
      <c r="B45" s="1">
        <v>8.8627018185440498E-2</v>
      </c>
      <c r="C45" s="1">
        <v>0.28970751321499899</v>
      </c>
      <c r="D45" s="1">
        <v>-3.0169720264999901E-2</v>
      </c>
      <c r="E45" s="1">
        <v>0.217581571393486</v>
      </c>
      <c r="F45" s="1">
        <v>0.22095028193499999</v>
      </c>
      <c r="G45" s="1">
        <v>-3.8587511014999902E-2</v>
      </c>
      <c r="H45" s="1">
        <v>0.357497544918565</v>
      </c>
      <c r="I45" s="1">
        <v>-4.2088953749999901E-3</v>
      </c>
      <c r="K45" s="6" t="s">
        <v>21</v>
      </c>
      <c r="L45" s="3">
        <f t="shared" si="5"/>
        <v>0.217581571393486</v>
      </c>
      <c r="M45" s="3">
        <f t="shared" si="6"/>
        <v>-0.11624403491329764</v>
      </c>
      <c r="N45" s="3">
        <f t="shared" si="7"/>
        <v>-0.14867781133684041</v>
      </c>
      <c r="O45" s="3">
        <f t="shared" si="8"/>
        <v>0.357497544918565</v>
      </c>
      <c r="R45">
        <v>0</v>
      </c>
      <c r="S45">
        <v>0</v>
      </c>
      <c r="T45">
        <f t="shared" si="4"/>
        <v>0</v>
      </c>
    </row>
    <row r="46" spans="1:20" x14ac:dyDescent="0.2">
      <c r="A46" s="1">
        <v>0.25953779294999901</v>
      </c>
      <c r="B46" s="1">
        <v>8.8627018185440498E-2</v>
      </c>
      <c r="C46" s="1">
        <v>0.29681452950999898</v>
      </c>
      <c r="D46" s="1">
        <v>-3.7276736560000003E-2</v>
      </c>
      <c r="E46" s="1">
        <v>0.51242073611141703</v>
      </c>
      <c r="F46" s="1">
        <v>0.27384795499999898</v>
      </c>
      <c r="G46" s="1">
        <v>1.431016205E-2</v>
      </c>
      <c r="H46" s="1">
        <v>0.16709633402847601</v>
      </c>
      <c r="I46" s="1">
        <v>2.5793449305E-2</v>
      </c>
      <c r="K46" s="6" t="s">
        <v>22</v>
      </c>
      <c r="L46" s="3">
        <f t="shared" si="5"/>
        <v>0.51242073611141703</v>
      </c>
      <c r="M46" s="3">
        <f t="shared" si="6"/>
        <v>-0.14362739289834955</v>
      </c>
      <c r="N46" s="3">
        <f t="shared" si="7"/>
        <v>5.51371031068177E-2</v>
      </c>
      <c r="O46" s="3">
        <f t="shared" si="8"/>
        <v>0.16709633402847601</v>
      </c>
      <c r="R46">
        <v>0</v>
      </c>
      <c r="S46">
        <v>0</v>
      </c>
      <c r="T46">
        <f t="shared" si="4"/>
        <v>0</v>
      </c>
    </row>
    <row r="47" spans="1:20" x14ac:dyDescent="0.2">
      <c r="A47" s="1">
        <v>0.25953779294999901</v>
      </c>
      <c r="B47" s="1">
        <v>8.8627018185440498E-2</v>
      </c>
      <c r="C47" s="1">
        <v>0.56382508542550003</v>
      </c>
      <c r="D47" s="1">
        <v>-0.30428729247550002</v>
      </c>
      <c r="E47" s="1">
        <v>6.4234583191838596E-4</v>
      </c>
      <c r="F47" s="1">
        <v>0.16605598066499899</v>
      </c>
      <c r="G47" s="1">
        <v>-9.3481812284999896E-2</v>
      </c>
      <c r="H47" s="1">
        <v>5.1942014071257599E-5</v>
      </c>
      <c r="I47" s="1">
        <v>0.10540274009525</v>
      </c>
      <c r="K47" s="6" t="s">
        <v>23</v>
      </c>
      <c r="L47" s="5">
        <f t="shared" si="5"/>
        <v>6.4234583191838596E-4</v>
      </c>
      <c r="M47" s="3">
        <f t="shared" si="6"/>
        <v>-1.1724199740502617</v>
      </c>
      <c r="N47" s="3">
        <f t="shared" si="7"/>
        <v>-0.36018574105317114</v>
      </c>
      <c r="O47" s="5">
        <f t="shared" si="8"/>
        <v>5.1942014071257599E-5</v>
      </c>
      <c r="R47">
        <v>-1.1724199740502617</v>
      </c>
      <c r="S47">
        <v>-0.36018574105317114</v>
      </c>
      <c r="T47">
        <f t="shared" si="4"/>
        <v>0.76630285755171634</v>
      </c>
    </row>
    <row r="48" spans="1:20" x14ac:dyDescent="0.2">
      <c r="A48" s="1">
        <v>0.25953779294999901</v>
      </c>
      <c r="B48" s="1">
        <v>8.8627018185440498E-2</v>
      </c>
      <c r="C48" s="1">
        <v>0.2483910725</v>
      </c>
      <c r="D48" s="1">
        <v>1.1146720449999901E-2</v>
      </c>
      <c r="E48" s="1">
        <v>2.8112264369169501E-3</v>
      </c>
      <c r="F48" s="1">
        <v>0.45103376515999899</v>
      </c>
      <c r="G48" s="1">
        <v>0.191495972209999</v>
      </c>
      <c r="H48" s="1">
        <v>0.63977587216489495</v>
      </c>
      <c r="I48" s="1">
        <v>9.0174625879999998E-2</v>
      </c>
      <c r="K48" s="6" t="s">
        <v>24</v>
      </c>
      <c r="L48" s="5">
        <f t="shared" si="5"/>
        <v>2.8112264369169501E-3</v>
      </c>
      <c r="M48" s="3">
        <f t="shared" si="6"/>
        <v>4.294835185004197E-2</v>
      </c>
      <c r="N48" s="3">
        <f t="shared" si="7"/>
        <v>0.73783463299655727</v>
      </c>
      <c r="O48" s="3">
        <f t="shared" si="8"/>
        <v>0.63977587216489495</v>
      </c>
      <c r="R48">
        <v>4.294835185004197E-2</v>
      </c>
      <c r="S48">
        <v>0</v>
      </c>
      <c r="T48">
        <f t="shared" si="4"/>
        <v>2.1474175925020985E-2</v>
      </c>
    </row>
    <row r="49" spans="1:20" ht="51" x14ac:dyDescent="0.2">
      <c r="L49" s="4" t="s">
        <v>0</v>
      </c>
      <c r="M49" s="4" t="s">
        <v>1</v>
      </c>
      <c r="N49" s="4" t="s">
        <v>2</v>
      </c>
      <c r="O49" s="4" t="s">
        <v>0</v>
      </c>
    </row>
    <row r="50" spans="1:20" x14ac:dyDescent="0.2">
      <c r="L50" s="4"/>
      <c r="M50" s="4"/>
      <c r="N50" s="4"/>
      <c r="O50" s="4"/>
    </row>
    <row r="51" spans="1:20" ht="19" x14ac:dyDescent="0.25">
      <c r="L51" s="11" t="s">
        <v>30</v>
      </c>
      <c r="M51" s="12"/>
      <c r="N51" s="12"/>
      <c r="O51" s="12"/>
    </row>
    <row r="52" spans="1:20" x14ac:dyDescent="0.2">
      <c r="A52" s="1">
        <v>2.2072604999999901</v>
      </c>
      <c r="B52" s="1">
        <v>0.29830936681966502</v>
      </c>
      <c r="C52" s="1">
        <v>2.4088213500000002</v>
      </c>
      <c r="D52" s="1">
        <v>-0.20156085000000001</v>
      </c>
      <c r="E52" s="1">
        <v>2.5330860543271501E-2</v>
      </c>
      <c r="F52" s="1">
        <v>2.0109909500000001</v>
      </c>
      <c r="G52" s="1">
        <v>-0.19626954999999899</v>
      </c>
      <c r="H52" s="1">
        <v>1.21039525964534E-2</v>
      </c>
      <c r="I52" s="1">
        <v>2.64565000000027E-3</v>
      </c>
      <c r="K52" s="6" t="s">
        <v>3</v>
      </c>
      <c r="L52" s="3">
        <f t="shared" si="5"/>
        <v>2.5330860543271501E-2</v>
      </c>
      <c r="M52" s="3">
        <f t="shared" si="6"/>
        <v>-9.13172006657125E-2</v>
      </c>
      <c r="N52" s="3">
        <f t="shared" si="7"/>
        <v>-8.8919975689321612E-2</v>
      </c>
      <c r="O52" s="3">
        <f t="shared" si="8"/>
        <v>1.21039525964534E-2</v>
      </c>
      <c r="R52">
        <v>0</v>
      </c>
      <c r="S52">
        <v>0</v>
      </c>
      <c r="T52">
        <f t="shared" ref="T52:T73" si="9">(ABS(R52)+ABS(S52))/2</f>
        <v>0</v>
      </c>
    </row>
    <row r="53" spans="1:20" x14ac:dyDescent="0.2">
      <c r="A53" s="1">
        <v>2.2072604999999901</v>
      </c>
      <c r="B53" s="1">
        <v>0.29830936681966502</v>
      </c>
      <c r="C53" s="1">
        <v>1.8127015500000001</v>
      </c>
      <c r="D53" s="1">
        <v>0.39455894999999902</v>
      </c>
      <c r="E53" s="1">
        <v>2.6526548179839598E-4</v>
      </c>
      <c r="F53" s="1">
        <v>2.4990450499999901</v>
      </c>
      <c r="G53" s="1">
        <v>0.29178454999999998</v>
      </c>
      <c r="H53" s="1">
        <v>2.14401046226644E-3</v>
      </c>
      <c r="I53" s="1">
        <v>-5.13871999999998E-2</v>
      </c>
      <c r="K53" s="6" t="s">
        <v>4</v>
      </c>
      <c r="L53" s="5">
        <f t="shared" si="5"/>
        <v>2.6526548179839598E-4</v>
      </c>
      <c r="M53" s="3">
        <f t="shared" si="6"/>
        <v>0.17875504499808736</v>
      </c>
      <c r="N53" s="3">
        <f t="shared" si="7"/>
        <v>0.13219307372192873</v>
      </c>
      <c r="O53" s="5">
        <f t="shared" si="8"/>
        <v>2.14401046226644E-3</v>
      </c>
      <c r="R53">
        <v>0.17875504499808736</v>
      </c>
      <c r="S53">
        <v>0.13219307372192873</v>
      </c>
      <c r="T53">
        <f t="shared" si="9"/>
        <v>0.15547405936000805</v>
      </c>
    </row>
    <row r="54" spans="1:20" x14ac:dyDescent="0.2">
      <c r="A54" s="1">
        <v>2.2072604999999901</v>
      </c>
      <c r="B54" s="1">
        <v>0.29830936681966502</v>
      </c>
      <c r="C54" s="1">
        <v>2.4379740000000001</v>
      </c>
      <c r="D54" s="1">
        <v>-0.23071349999999999</v>
      </c>
      <c r="E54" s="1">
        <v>5.76975934545189E-2</v>
      </c>
      <c r="F54" s="1">
        <v>2.09002689999999</v>
      </c>
      <c r="G54" s="1">
        <v>-0.11723359999999999</v>
      </c>
      <c r="H54" s="1">
        <v>0.115620645734704</v>
      </c>
      <c r="I54" s="1">
        <v>5.6739949999999997E-2</v>
      </c>
      <c r="K54" s="6" t="s">
        <v>5</v>
      </c>
      <c r="L54" s="3">
        <f t="shared" si="5"/>
        <v>5.76975934545189E-2</v>
      </c>
      <c r="M54" s="3">
        <f t="shared" si="6"/>
        <v>-0.10452481707528451</v>
      </c>
      <c r="N54" s="3">
        <f t="shared" si="7"/>
        <v>-5.3112715966239836E-2</v>
      </c>
      <c r="O54" s="3">
        <f t="shared" si="8"/>
        <v>0.115620645734704</v>
      </c>
      <c r="R54">
        <v>0</v>
      </c>
      <c r="S54">
        <v>0</v>
      </c>
      <c r="T54">
        <f t="shared" si="9"/>
        <v>0</v>
      </c>
    </row>
    <row r="55" spans="1:20" x14ac:dyDescent="0.2">
      <c r="A55" s="1">
        <v>2.2072604999999901</v>
      </c>
      <c r="B55" s="1">
        <v>0.29830936681966502</v>
      </c>
      <c r="C55" s="1">
        <v>2.2268642999999901</v>
      </c>
      <c r="D55" s="1">
        <v>-1.9603800000000001E-2</v>
      </c>
      <c r="E55" s="1">
        <v>0.84533606229899405</v>
      </c>
      <c r="F55" s="1">
        <v>2.2005223499999902</v>
      </c>
      <c r="G55" s="1">
        <v>-6.7381499999998803E-3</v>
      </c>
      <c r="H55" s="1">
        <v>0.92782436047603001</v>
      </c>
      <c r="I55" s="1">
        <v>6.4328250000000803E-3</v>
      </c>
      <c r="K55" s="6" t="s">
        <v>6</v>
      </c>
      <c r="L55" s="3">
        <f t="shared" si="5"/>
        <v>0.84533606229899405</v>
      </c>
      <c r="M55" s="3">
        <f t="shared" si="6"/>
        <v>-8.881507189568285E-3</v>
      </c>
      <c r="N55" s="3">
        <f t="shared" si="7"/>
        <v>-3.0527207821640949E-3</v>
      </c>
      <c r="O55" s="3">
        <f t="shared" si="8"/>
        <v>0.92782436047603001</v>
      </c>
      <c r="R55">
        <v>0</v>
      </c>
      <c r="S55">
        <v>0</v>
      </c>
      <c r="T55">
        <f t="shared" si="9"/>
        <v>0</v>
      </c>
    </row>
    <row r="56" spans="1:20" x14ac:dyDescent="0.2">
      <c r="A56" s="1">
        <v>2.2072604999999901</v>
      </c>
      <c r="B56" s="1">
        <v>0.29830936681966502</v>
      </c>
      <c r="C56" s="1">
        <v>2.3450709999999901</v>
      </c>
      <c r="D56" s="1">
        <v>-0.1378105</v>
      </c>
      <c r="E56" s="1">
        <v>0.214826336829857</v>
      </c>
      <c r="F56" s="1">
        <v>2.2291421499999902</v>
      </c>
      <c r="G56" s="1">
        <v>2.1881649999999999E-2</v>
      </c>
      <c r="H56" s="1">
        <v>0.84334642738675503</v>
      </c>
      <c r="I56" s="1">
        <v>7.9846075000000002E-2</v>
      </c>
      <c r="K56" s="6" t="s">
        <v>7</v>
      </c>
      <c r="L56" s="9">
        <f t="shared" si="5"/>
        <v>0.214826336829857</v>
      </c>
      <c r="M56" s="3">
        <f t="shared" si="6"/>
        <v>-6.2435086388761371E-2</v>
      </c>
      <c r="N56" s="3">
        <f t="shared" si="7"/>
        <v>9.9134877827062543E-3</v>
      </c>
      <c r="O56" s="3">
        <f t="shared" si="8"/>
        <v>0.84334642738675503</v>
      </c>
      <c r="R56">
        <v>0</v>
      </c>
      <c r="S56">
        <v>0</v>
      </c>
      <c r="T56">
        <f t="shared" si="9"/>
        <v>0</v>
      </c>
    </row>
    <row r="57" spans="1:20" x14ac:dyDescent="0.2">
      <c r="A57" s="1">
        <v>2.2072604999999901</v>
      </c>
      <c r="B57" s="1">
        <v>0.29830936681966502</v>
      </c>
      <c r="C57" s="1">
        <v>0.80312621500000003</v>
      </c>
      <c r="D57" s="1">
        <v>1.40413428499999</v>
      </c>
      <c r="E57" s="1">
        <v>1.7968950668903301E-13</v>
      </c>
      <c r="F57" s="1">
        <v>3.8238485500000001</v>
      </c>
      <c r="G57" s="1">
        <v>1.6165880500000001</v>
      </c>
      <c r="H57" s="1">
        <v>6.4423852820857598E-20</v>
      </c>
      <c r="I57" s="1">
        <v>0.10622688249999999</v>
      </c>
      <c r="K57" s="6" t="s">
        <v>8</v>
      </c>
      <c r="L57" s="5">
        <f t="shared" si="5"/>
        <v>1.7968950668903301E-13</v>
      </c>
      <c r="M57" s="3">
        <f t="shared" si="6"/>
        <v>0.63614343889178293</v>
      </c>
      <c r="N57" s="3">
        <f t="shared" si="7"/>
        <v>0.7323956778096683</v>
      </c>
      <c r="O57" s="5">
        <f t="shared" si="8"/>
        <v>6.4423852820857598E-20</v>
      </c>
      <c r="R57">
        <v>0.63614343889178293</v>
      </c>
      <c r="S57">
        <v>0.7323956778096683</v>
      </c>
      <c r="T57">
        <f t="shared" si="9"/>
        <v>0.68426955835072567</v>
      </c>
    </row>
    <row r="58" spans="1:20" x14ac:dyDescent="0.2">
      <c r="A58" s="1">
        <v>2.2072604999999901</v>
      </c>
      <c r="B58" s="1">
        <v>0.29830936681966502</v>
      </c>
      <c r="C58" s="1">
        <v>1.9604041999999899</v>
      </c>
      <c r="D58" s="1">
        <v>0.246856299999999</v>
      </c>
      <c r="E58" s="1">
        <v>8.6648768238396304E-3</v>
      </c>
      <c r="F58" s="1">
        <v>2.3167312500000001</v>
      </c>
      <c r="G58" s="1">
        <v>0.10947075000000001</v>
      </c>
      <c r="H58" s="1">
        <v>0.19771065485876099</v>
      </c>
      <c r="I58" s="1">
        <v>-6.8692774999999803E-2</v>
      </c>
      <c r="K58" s="6" t="s">
        <v>9</v>
      </c>
      <c r="L58" s="5">
        <f t="shared" si="5"/>
        <v>8.6648768238396304E-3</v>
      </c>
      <c r="M58" s="3">
        <f t="shared" si="6"/>
        <v>0.1118383172262631</v>
      </c>
      <c r="N58" s="3">
        <f t="shared" si="7"/>
        <v>4.9595754556383577E-2</v>
      </c>
      <c r="O58" s="3">
        <f t="shared" si="8"/>
        <v>0.19771065485876099</v>
      </c>
      <c r="R58">
        <v>0.1118383172262631</v>
      </c>
      <c r="S58">
        <v>0</v>
      </c>
      <c r="T58">
        <f t="shared" si="9"/>
        <v>5.5919158613131549E-2</v>
      </c>
    </row>
    <row r="59" spans="1:20" x14ac:dyDescent="0.2">
      <c r="A59" s="1">
        <v>2.2072604999999901</v>
      </c>
      <c r="B59" s="1">
        <v>0.29830936681966502</v>
      </c>
      <c r="C59" s="1">
        <v>0.659940415</v>
      </c>
      <c r="D59" s="1">
        <v>1.54732008499999</v>
      </c>
      <c r="E59" s="1">
        <v>2.56111020203012E-18</v>
      </c>
      <c r="F59" s="1">
        <v>3.8904263999999902</v>
      </c>
      <c r="G59" s="1">
        <v>1.6831659000000001</v>
      </c>
      <c r="H59" s="1">
        <v>1.71753106943671E-20</v>
      </c>
      <c r="I59" s="1">
        <v>6.7922907500000101E-2</v>
      </c>
      <c r="K59" s="6" t="s">
        <v>10</v>
      </c>
      <c r="L59" s="5">
        <f t="shared" si="5"/>
        <v>2.56111020203012E-18</v>
      </c>
      <c r="M59" s="3">
        <f t="shared" si="6"/>
        <v>0.70101380648092826</v>
      </c>
      <c r="N59" s="3">
        <f t="shared" si="7"/>
        <v>0.76255879176925767</v>
      </c>
      <c r="O59" s="5">
        <f t="shared" si="8"/>
        <v>1.71753106943671E-20</v>
      </c>
      <c r="R59">
        <v>0.70101380648092826</v>
      </c>
      <c r="S59">
        <v>0.76255879176925767</v>
      </c>
      <c r="T59">
        <f t="shared" si="9"/>
        <v>0.73178629912509296</v>
      </c>
    </row>
    <row r="60" spans="1:20" x14ac:dyDescent="0.2">
      <c r="A60" s="1">
        <v>2.2072604999999901</v>
      </c>
      <c r="B60" s="1">
        <v>0.29830936681966502</v>
      </c>
      <c r="C60" s="1">
        <v>3.3365930999999902</v>
      </c>
      <c r="D60" s="1">
        <v>-1.1293325999999999</v>
      </c>
      <c r="E60" s="1">
        <v>1.00338365733076E-14</v>
      </c>
      <c r="F60" s="1">
        <v>1.3276284199999899</v>
      </c>
      <c r="G60" s="1">
        <v>-0.87963207999999904</v>
      </c>
      <c r="H60" s="1">
        <v>6.5370435151060596E-7</v>
      </c>
      <c r="I60" s="1">
        <v>0.12485026</v>
      </c>
      <c r="K60" s="6" t="s">
        <v>11</v>
      </c>
      <c r="L60" s="5">
        <f t="shared" si="5"/>
        <v>1.00338365733076E-14</v>
      </c>
      <c r="M60" s="3">
        <f t="shared" si="6"/>
        <v>-0.51164445700904126</v>
      </c>
      <c r="N60" s="3">
        <f t="shared" si="7"/>
        <v>-0.3985175650993632</v>
      </c>
      <c r="O60" s="5">
        <f t="shared" si="8"/>
        <v>6.5370435151060596E-7</v>
      </c>
      <c r="R60">
        <v>-0.51164445700904126</v>
      </c>
      <c r="S60">
        <v>-0.3985175650993632</v>
      </c>
      <c r="T60">
        <f t="shared" si="9"/>
        <v>0.45508101105420223</v>
      </c>
    </row>
    <row r="61" spans="1:20" x14ac:dyDescent="0.2">
      <c r="A61" s="1">
        <v>2.2072604999999901</v>
      </c>
      <c r="B61" s="1">
        <v>0.29830936681966502</v>
      </c>
      <c r="C61" s="1">
        <v>0.83846183500000004</v>
      </c>
      <c r="D61" s="1">
        <v>1.3687986649999899</v>
      </c>
      <c r="E61" s="1">
        <v>6.3540762780136001E-12</v>
      </c>
      <c r="F61" s="1">
        <v>3.8244350499999902</v>
      </c>
      <c r="G61" s="1">
        <v>1.6171745500000001</v>
      </c>
      <c r="H61" s="1">
        <v>9.2949096453581602E-20</v>
      </c>
      <c r="I61" s="1">
        <v>0.1241879425</v>
      </c>
      <c r="K61" s="6" t="s">
        <v>12</v>
      </c>
      <c r="L61" s="5">
        <f t="shared" si="5"/>
        <v>6.3540762780136001E-12</v>
      </c>
      <c r="M61" s="3">
        <f t="shared" si="6"/>
        <v>0.6201346261576266</v>
      </c>
      <c r="N61" s="3">
        <f t="shared" si="7"/>
        <v>0.73266139180219436</v>
      </c>
      <c r="O61" s="5">
        <f t="shared" si="8"/>
        <v>9.2949096453581602E-20</v>
      </c>
      <c r="R61">
        <v>0.6201346261576266</v>
      </c>
      <c r="S61">
        <v>0.73266139180219436</v>
      </c>
      <c r="T61">
        <f t="shared" si="9"/>
        <v>0.67639800897991043</v>
      </c>
    </row>
    <row r="62" spans="1:20" x14ac:dyDescent="0.2">
      <c r="A62" s="1">
        <v>2.2072604999999901</v>
      </c>
      <c r="B62" s="1">
        <v>0.29830936681966502</v>
      </c>
      <c r="C62" s="1">
        <v>1.4519821500000001</v>
      </c>
      <c r="D62" s="1">
        <v>0.75527834999999899</v>
      </c>
      <c r="E62" s="1">
        <v>1.62879298160573E-10</v>
      </c>
      <c r="F62" s="1">
        <v>3.9748866500000002</v>
      </c>
      <c r="G62" s="1">
        <v>1.7676261499999999</v>
      </c>
      <c r="H62" s="1">
        <v>6.7869255303361401E-9</v>
      </c>
      <c r="I62" s="1">
        <v>0.50617389999999995</v>
      </c>
      <c r="K62" s="6" t="s">
        <v>13</v>
      </c>
      <c r="L62" s="5">
        <f t="shared" si="5"/>
        <v>1.62879298160573E-10</v>
      </c>
      <c r="M62" s="3">
        <f t="shared" si="6"/>
        <v>0.34217907220285165</v>
      </c>
      <c r="N62" s="3">
        <f t="shared" si="7"/>
        <v>0.80082353215671997</v>
      </c>
      <c r="O62" s="5">
        <f t="shared" si="8"/>
        <v>6.7869255303361401E-9</v>
      </c>
      <c r="R62">
        <v>0.34217907220285165</v>
      </c>
      <c r="S62">
        <v>0.80082353215671997</v>
      </c>
      <c r="T62">
        <f t="shared" si="9"/>
        <v>0.57150130217978579</v>
      </c>
    </row>
    <row r="63" spans="1:20" x14ac:dyDescent="0.2">
      <c r="A63" s="1">
        <v>2.2072604999999901</v>
      </c>
      <c r="B63" s="1">
        <v>0.29830936681966502</v>
      </c>
      <c r="C63" s="1">
        <v>0.59909469999999898</v>
      </c>
      <c r="D63" s="1">
        <v>1.6081657999999901</v>
      </c>
      <c r="E63" s="1">
        <v>4.7461299621498497E-19</v>
      </c>
      <c r="F63" s="1">
        <v>7.1163372000000003</v>
      </c>
      <c r="G63" s="1">
        <v>4.9090766999999902</v>
      </c>
      <c r="H63" s="1">
        <v>1.39941035859004E-25</v>
      </c>
      <c r="I63" s="1">
        <v>1.6504554499999999</v>
      </c>
      <c r="K63" s="6" t="s">
        <v>14</v>
      </c>
      <c r="L63" s="5">
        <f t="shared" si="5"/>
        <v>4.7461299621498497E-19</v>
      </c>
      <c r="M63" s="3">
        <f t="shared" si="6"/>
        <v>0.72857997504145855</v>
      </c>
      <c r="N63" s="3">
        <f t="shared" si="7"/>
        <v>2.2240586011483523</v>
      </c>
      <c r="O63" s="5">
        <f t="shared" si="8"/>
        <v>1.39941035859004E-25</v>
      </c>
      <c r="R63">
        <v>0.72857997504145855</v>
      </c>
      <c r="S63">
        <v>2.2240586011483523</v>
      </c>
      <c r="T63">
        <f t="shared" si="9"/>
        <v>1.4763192880949054</v>
      </c>
    </row>
    <row r="64" spans="1:20" x14ac:dyDescent="0.2">
      <c r="A64" s="1">
        <v>2.2072604999999901</v>
      </c>
      <c r="B64" s="1">
        <v>0.29830936681966502</v>
      </c>
      <c r="C64" s="1">
        <v>2.3027438</v>
      </c>
      <c r="D64" s="1">
        <v>-9.5483300000000104E-2</v>
      </c>
      <c r="E64" s="1">
        <v>0.29491032673121798</v>
      </c>
      <c r="F64" s="1">
        <v>2.2399072499999901</v>
      </c>
      <c r="G64" s="1">
        <v>3.2646750000000002E-2</v>
      </c>
      <c r="H64" s="1">
        <v>0.78619888041552599</v>
      </c>
      <c r="I64" s="1">
        <v>6.4065025000000095E-2</v>
      </c>
      <c r="K64" s="6" t="s">
        <v>15</v>
      </c>
      <c r="L64" s="9">
        <f t="shared" si="5"/>
        <v>0.29491032673121798</v>
      </c>
      <c r="M64" s="3">
        <f t="shared" si="6"/>
        <v>-4.3258736338552033E-2</v>
      </c>
      <c r="N64" s="3">
        <f t="shared" si="7"/>
        <v>1.4790619412615842E-2</v>
      </c>
      <c r="O64" s="9">
        <f t="shared" si="8"/>
        <v>0.78619888041552599</v>
      </c>
      <c r="R64">
        <v>0</v>
      </c>
      <c r="S64">
        <v>0</v>
      </c>
      <c r="T64">
        <f t="shared" si="9"/>
        <v>0</v>
      </c>
    </row>
    <row r="65" spans="1:20" x14ac:dyDescent="0.2">
      <c r="A65" s="1">
        <v>2.2072604999999901</v>
      </c>
      <c r="B65" s="1">
        <v>0.29830936681966502</v>
      </c>
      <c r="C65" s="1">
        <v>2.2060846000000001</v>
      </c>
      <c r="D65" s="1">
        <v>1.17589999999978E-3</v>
      </c>
      <c r="E65" s="1">
        <v>0.98693607617760903</v>
      </c>
      <c r="F65" s="1">
        <v>1.02580330499999</v>
      </c>
      <c r="G65" s="1">
        <v>-1.1814571949999899</v>
      </c>
      <c r="H65" s="1">
        <v>1.9917517447300601E-4</v>
      </c>
      <c r="I65" s="1">
        <v>-0.59131654749999896</v>
      </c>
      <c r="K65" s="6" t="s">
        <v>16</v>
      </c>
      <c r="L65" s="9">
        <f t="shared" ref="L65:L73" si="10">E65</f>
        <v>0.98693607617760903</v>
      </c>
      <c r="M65" s="3">
        <f t="shared" ref="M65:M73" si="11">D65/A65</f>
        <v>5.3274183088030855E-4</v>
      </c>
      <c r="N65" s="3">
        <f t="shared" ref="N65:N73" si="12">G65/A65</f>
        <v>-0.53525951966249352</v>
      </c>
      <c r="O65" s="5">
        <f t="shared" ref="O65:O73" si="13">H65</f>
        <v>1.9917517447300601E-4</v>
      </c>
      <c r="R65">
        <v>0</v>
      </c>
      <c r="S65">
        <v>-0.53525951966249352</v>
      </c>
      <c r="T65">
        <f t="shared" si="9"/>
        <v>0.26762975983124676</v>
      </c>
    </row>
    <row r="66" spans="1:20" x14ac:dyDescent="0.2">
      <c r="A66" s="1">
        <v>2.2072604999999901</v>
      </c>
      <c r="B66" s="1">
        <v>0.29830936681966502</v>
      </c>
      <c r="C66" s="1">
        <v>2.0412295500000002</v>
      </c>
      <c r="D66" s="1">
        <v>0.16603094999999901</v>
      </c>
      <c r="E66" s="1">
        <v>3.52153822377003E-2</v>
      </c>
      <c r="F66" s="1">
        <v>2.3086133499999901</v>
      </c>
      <c r="G66" s="1">
        <v>0.10135284999999999</v>
      </c>
      <c r="H66" s="1">
        <v>0.33798813432108299</v>
      </c>
      <c r="I66" s="1">
        <v>-3.23390499999998E-2</v>
      </c>
      <c r="K66" s="6" t="s">
        <v>17</v>
      </c>
      <c r="L66" s="3">
        <f t="shared" si="10"/>
        <v>3.52153822377003E-2</v>
      </c>
      <c r="M66" s="3">
        <f t="shared" si="11"/>
        <v>7.5220369322062233E-2</v>
      </c>
      <c r="N66" s="3">
        <f t="shared" si="12"/>
        <v>4.5917937642611942E-2</v>
      </c>
      <c r="O66" s="3">
        <f t="shared" si="13"/>
        <v>0.33798813432108299</v>
      </c>
      <c r="R66">
        <v>0</v>
      </c>
      <c r="S66">
        <v>0</v>
      </c>
      <c r="T66">
        <f t="shared" si="9"/>
        <v>0</v>
      </c>
    </row>
    <row r="67" spans="1:20" x14ac:dyDescent="0.2">
      <c r="A67" s="1">
        <v>2.2072604999999901</v>
      </c>
      <c r="B67" s="1">
        <v>0.29830936681966502</v>
      </c>
      <c r="C67" s="1">
        <v>2.0663772499999902</v>
      </c>
      <c r="D67" s="1">
        <v>0.14088324999999899</v>
      </c>
      <c r="E67" s="1">
        <v>0.21756610174834601</v>
      </c>
      <c r="F67" s="1">
        <v>2.3983590999999902</v>
      </c>
      <c r="G67" s="1">
        <v>0.19109860000000001</v>
      </c>
      <c r="H67" s="1">
        <v>4.6180831659502701E-2</v>
      </c>
      <c r="I67" s="1">
        <v>2.51076750000001E-2</v>
      </c>
      <c r="K67" s="6" t="s">
        <v>18</v>
      </c>
      <c r="L67" s="3">
        <f t="shared" si="10"/>
        <v>0.21756610174834601</v>
      </c>
      <c r="M67" s="3">
        <f t="shared" si="11"/>
        <v>6.3827196653951646E-2</v>
      </c>
      <c r="N67" s="3">
        <f t="shared" si="12"/>
        <v>8.657727531480805E-2</v>
      </c>
      <c r="O67" s="3">
        <f t="shared" si="13"/>
        <v>4.6180831659502701E-2</v>
      </c>
      <c r="R67">
        <v>0</v>
      </c>
      <c r="S67">
        <v>0</v>
      </c>
      <c r="T67">
        <f t="shared" si="9"/>
        <v>0</v>
      </c>
    </row>
    <row r="68" spans="1:20" x14ac:dyDescent="0.2">
      <c r="A68" s="1">
        <v>2.2072604999999901</v>
      </c>
      <c r="B68" s="1">
        <v>0.29830936681966502</v>
      </c>
      <c r="C68" s="1">
        <v>2.4650094999999901</v>
      </c>
      <c r="D68" s="1">
        <v>-0.25774900000000001</v>
      </c>
      <c r="E68" s="1">
        <v>1.2156225861902299E-2</v>
      </c>
      <c r="F68" s="1">
        <v>2.0229037000000001</v>
      </c>
      <c r="G68" s="1">
        <v>-0.18435679999999899</v>
      </c>
      <c r="H68" s="1">
        <v>3.02876403442633E-2</v>
      </c>
      <c r="I68" s="1">
        <v>3.6696100000000099E-2</v>
      </c>
      <c r="K68" s="6" t="s">
        <v>19</v>
      </c>
      <c r="L68" s="3">
        <f t="shared" si="10"/>
        <v>1.2156225861902299E-2</v>
      </c>
      <c r="M68" s="3">
        <f t="shared" si="11"/>
        <v>-0.11677325807262041</v>
      </c>
      <c r="N68" s="3">
        <f t="shared" si="12"/>
        <v>-8.352290089910086E-2</v>
      </c>
      <c r="O68" s="3">
        <f t="shared" si="13"/>
        <v>3.02876403442633E-2</v>
      </c>
      <c r="R68">
        <v>0</v>
      </c>
      <c r="S68">
        <v>0</v>
      </c>
      <c r="T68">
        <f t="shared" si="9"/>
        <v>0</v>
      </c>
    </row>
    <row r="69" spans="1:20" x14ac:dyDescent="0.2">
      <c r="A69" s="1">
        <v>2.2072604999999901</v>
      </c>
      <c r="B69" s="1">
        <v>0.29830936681966502</v>
      </c>
      <c r="C69" s="1">
        <v>2.9238911999999901</v>
      </c>
      <c r="D69" s="1">
        <v>-0.71663069999999995</v>
      </c>
      <c r="E69" s="1">
        <v>5.6396457574986E-10</v>
      </c>
      <c r="F69" s="1">
        <v>1.70649695</v>
      </c>
      <c r="G69" s="1">
        <v>-0.50076354999999895</v>
      </c>
      <c r="H69" s="1">
        <v>9.659666846870189E-7</v>
      </c>
      <c r="I69" s="1">
        <v>0.107933575</v>
      </c>
      <c r="K69" s="6" t="s">
        <v>20</v>
      </c>
      <c r="L69" s="5">
        <f t="shared" si="10"/>
        <v>5.6396457574986E-10</v>
      </c>
      <c r="M69" s="3">
        <f t="shared" si="11"/>
        <v>-0.32466974333115789</v>
      </c>
      <c r="N69" s="3">
        <f t="shared" si="12"/>
        <v>-0.226871069364038</v>
      </c>
      <c r="O69" s="5">
        <f t="shared" si="13"/>
        <v>9.659666846870189E-7</v>
      </c>
      <c r="R69">
        <v>-0.32466974333115789</v>
      </c>
      <c r="S69">
        <v>-0.226871069364038</v>
      </c>
      <c r="T69">
        <f t="shared" si="9"/>
        <v>0.27577040634759797</v>
      </c>
    </row>
    <row r="70" spans="1:20" x14ac:dyDescent="0.2">
      <c r="A70" s="1">
        <v>2.2072604999999901</v>
      </c>
      <c r="B70" s="1">
        <v>0.29830936681966502</v>
      </c>
      <c r="C70" s="1">
        <v>6.6880228999999902</v>
      </c>
      <c r="D70" s="1">
        <v>-4.4807623999999899</v>
      </c>
      <c r="E70" s="1">
        <v>9.8038844472545003E-11</v>
      </c>
      <c r="F70" s="1">
        <v>1.1756096</v>
      </c>
      <c r="G70" s="1">
        <v>-1.03165089999999</v>
      </c>
      <c r="H70" s="1">
        <v>5.6957058544721005E-14</v>
      </c>
      <c r="I70" s="1">
        <v>1.7245557499999999</v>
      </c>
      <c r="K70" s="6" t="s">
        <v>21</v>
      </c>
      <c r="L70" s="5">
        <f t="shared" si="10"/>
        <v>9.8038844472545003E-11</v>
      </c>
      <c r="M70" s="3">
        <f t="shared" si="11"/>
        <v>-2.0300106851909914</v>
      </c>
      <c r="N70" s="3">
        <f t="shared" si="12"/>
        <v>-0.46738973492254071</v>
      </c>
      <c r="O70" s="5">
        <f t="shared" si="13"/>
        <v>5.6957058544721005E-14</v>
      </c>
      <c r="R70">
        <v>-2.0300106851909914</v>
      </c>
      <c r="S70">
        <v>-0.46738973492254071</v>
      </c>
      <c r="T70">
        <f t="shared" si="9"/>
        <v>1.2487002100567661</v>
      </c>
    </row>
    <row r="71" spans="1:20" x14ac:dyDescent="0.2">
      <c r="A71" s="1">
        <v>2.2072604999999901</v>
      </c>
      <c r="B71" s="1">
        <v>0.29830936681966502</v>
      </c>
      <c r="C71" s="1">
        <v>4.7063465000000004</v>
      </c>
      <c r="D71" s="1">
        <v>-2.4990860000000001</v>
      </c>
      <c r="E71" s="1">
        <v>6.2321045175005799E-20</v>
      </c>
      <c r="F71" s="1">
        <v>1.26701909999999</v>
      </c>
      <c r="G71" s="1">
        <v>-0.94024139999999901</v>
      </c>
      <c r="H71" s="1">
        <v>2.2970548130886001E-12</v>
      </c>
      <c r="I71" s="1">
        <v>0.77942230000000001</v>
      </c>
      <c r="K71" s="6" t="s">
        <v>22</v>
      </c>
      <c r="L71" s="5">
        <f t="shared" si="10"/>
        <v>6.2321045175005799E-20</v>
      </c>
      <c r="M71" s="3">
        <f t="shared" si="11"/>
        <v>-1.1322116261311301</v>
      </c>
      <c r="N71" s="3">
        <f t="shared" si="12"/>
        <v>-0.42597663483762033</v>
      </c>
      <c r="O71" s="5">
        <f t="shared" si="13"/>
        <v>2.2970548130886001E-12</v>
      </c>
      <c r="R71">
        <v>-1.1322116261311301</v>
      </c>
      <c r="S71">
        <v>-0.42597663483762033</v>
      </c>
      <c r="T71">
        <f t="shared" si="9"/>
        <v>0.77909413048437526</v>
      </c>
    </row>
    <row r="72" spans="1:20" x14ac:dyDescent="0.2">
      <c r="A72" s="1">
        <v>2.2072604999999901</v>
      </c>
      <c r="B72" s="1">
        <v>0.29830936681966502</v>
      </c>
      <c r="C72" s="1">
        <v>2.7469396999999902</v>
      </c>
      <c r="D72" s="1">
        <v>-0.53967920000000003</v>
      </c>
      <c r="E72" s="1">
        <v>1.16731463753564E-7</v>
      </c>
      <c r="F72" s="1">
        <v>1.3534294</v>
      </c>
      <c r="G72" s="1">
        <v>-0.85383109999999895</v>
      </c>
      <c r="H72" s="1">
        <v>7.6336111656746493E-5</v>
      </c>
      <c r="I72" s="1">
        <v>-0.15707594999999899</v>
      </c>
      <c r="K72" s="6" t="s">
        <v>23</v>
      </c>
      <c r="L72" s="5">
        <f t="shared" si="10"/>
        <v>1.16731463753564E-7</v>
      </c>
      <c r="M72" s="3">
        <f t="shared" si="11"/>
        <v>-0.24450181571228338</v>
      </c>
      <c r="N72" s="3">
        <f t="shared" si="12"/>
        <v>-0.38682842374065174</v>
      </c>
      <c r="O72" s="5">
        <f t="shared" si="13"/>
        <v>7.6336111656746493E-5</v>
      </c>
      <c r="R72">
        <v>-0.24450181571228338</v>
      </c>
      <c r="S72">
        <v>-0.38682842374065174</v>
      </c>
      <c r="T72">
        <f t="shared" si="9"/>
        <v>0.31566511972646755</v>
      </c>
    </row>
    <row r="73" spans="1:20" x14ac:dyDescent="0.2">
      <c r="A73" s="1">
        <v>2.2072604999999901</v>
      </c>
      <c r="B73" s="1">
        <v>0.29830936681966502</v>
      </c>
      <c r="C73" s="1">
        <v>1.1072177350000001</v>
      </c>
      <c r="D73" s="1">
        <v>1.10004276499999</v>
      </c>
      <c r="E73" s="1">
        <v>8.1597435818870301E-7</v>
      </c>
      <c r="F73" s="1">
        <v>3.1337746000000002</v>
      </c>
      <c r="G73" s="1">
        <v>0.92651410000000001</v>
      </c>
      <c r="H73" s="1">
        <v>2.1682626274283201E-12</v>
      </c>
      <c r="I73" s="1">
        <v>-8.6764332499999694E-2</v>
      </c>
      <c r="K73" s="6" t="s">
        <v>24</v>
      </c>
      <c r="L73" s="5">
        <f t="shared" si="10"/>
        <v>8.1597435818870301E-7</v>
      </c>
      <c r="M73" s="3">
        <f t="shared" si="11"/>
        <v>0.49837468889602971</v>
      </c>
      <c r="N73" s="3">
        <f t="shared" si="12"/>
        <v>0.4197574776515976</v>
      </c>
      <c r="O73" s="5">
        <f t="shared" si="13"/>
        <v>2.1682626274283201E-12</v>
      </c>
      <c r="R73">
        <v>0.49837468889602971</v>
      </c>
      <c r="S73">
        <v>0.4197574776515976</v>
      </c>
      <c r="T73">
        <f t="shared" si="9"/>
        <v>0.45906608327381365</v>
      </c>
    </row>
    <row r="74" spans="1:20" ht="51" x14ac:dyDescent="0.2">
      <c r="L74" s="4" t="s">
        <v>0</v>
      </c>
      <c r="M74" s="4" t="s">
        <v>1</v>
      </c>
      <c r="N74" s="4" t="s">
        <v>2</v>
      </c>
      <c r="O74" s="4" t="s">
        <v>0</v>
      </c>
    </row>
    <row r="75" spans="1:20" x14ac:dyDescent="0.2">
      <c r="A75" t="s">
        <v>27</v>
      </c>
      <c r="L75" s="2"/>
      <c r="M75" s="2"/>
      <c r="N75" s="3"/>
      <c r="O75" s="2"/>
    </row>
    <row r="76" spans="1:20" ht="19" x14ac:dyDescent="0.25">
      <c r="L76" s="11" t="s">
        <v>28</v>
      </c>
      <c r="M76" s="12"/>
      <c r="N76" s="12"/>
      <c r="O76" s="12"/>
    </row>
    <row r="77" spans="1:20" x14ac:dyDescent="0.2">
      <c r="A77" s="1">
        <v>6.1769184781819003E-2</v>
      </c>
      <c r="B77" s="1">
        <v>2.19005069868216E-2</v>
      </c>
      <c r="C77" s="1">
        <v>4.4076116726939001E-2</v>
      </c>
      <c r="D77" s="1">
        <v>1.7693068054879899E-2</v>
      </c>
      <c r="E77" s="1">
        <v>7.6579192198344302E-3</v>
      </c>
      <c r="F77" s="1">
        <v>7.8583321945384199E-2</v>
      </c>
      <c r="G77" s="1">
        <v>1.6814137163565099E-2</v>
      </c>
      <c r="H77" s="1">
        <v>5.6049724606611296E-3</v>
      </c>
      <c r="I77" s="1">
        <v>-4.3946544565740599E-4</v>
      </c>
      <c r="K77" s="6" t="s">
        <v>3</v>
      </c>
      <c r="L77" s="5">
        <f t="shared" ref="L77:L98" si="14">E77</f>
        <v>7.6579192198344302E-3</v>
      </c>
      <c r="M77" s="3">
        <f t="shared" ref="M77:M98" si="15">D77/A77</f>
        <v>0.28643842584899443</v>
      </c>
      <c r="N77" s="3">
        <f t="shared" ref="N77:N98" si="16">G77/A77</f>
        <v>0.2722091480235001</v>
      </c>
      <c r="O77" s="5">
        <f t="shared" ref="O77:O98" si="17">H77</f>
        <v>5.6049724606611296E-3</v>
      </c>
    </row>
    <row r="78" spans="1:20" x14ac:dyDescent="0.2">
      <c r="A78" s="1">
        <v>6.1769184781819003E-2</v>
      </c>
      <c r="B78" s="1">
        <v>2.19005069868216E-2</v>
      </c>
      <c r="C78" s="1">
        <v>0.136368279838852</v>
      </c>
      <c r="D78" s="1">
        <v>-7.4599095057033799E-2</v>
      </c>
      <c r="E78" s="1">
        <v>1.14056439287839E-7</v>
      </c>
      <c r="F78" s="1">
        <v>3.1061982309509101E-2</v>
      </c>
      <c r="G78" s="1">
        <v>-3.0707202472309899E-2</v>
      </c>
      <c r="H78" s="1">
        <v>1.29647266634937E-5</v>
      </c>
      <c r="I78" s="1">
        <v>2.1945946292361899E-2</v>
      </c>
      <c r="K78" s="6" t="s">
        <v>4</v>
      </c>
      <c r="L78" s="5">
        <f t="shared" si="14"/>
        <v>1.14056439287839E-7</v>
      </c>
      <c r="M78" s="3">
        <f t="shared" si="15"/>
        <v>-1.2077072948353225</v>
      </c>
      <c r="N78" s="3">
        <f t="shared" si="16"/>
        <v>-0.497128180997917</v>
      </c>
      <c r="O78" s="5">
        <f t="shared" si="17"/>
        <v>1.29647266634937E-5</v>
      </c>
    </row>
    <row r="79" spans="1:20" x14ac:dyDescent="0.2">
      <c r="A79" s="1">
        <v>6.1769184781819003E-2</v>
      </c>
      <c r="B79" s="1">
        <v>2.19005069868216E-2</v>
      </c>
      <c r="C79" s="1">
        <v>4.24346792901888E-2</v>
      </c>
      <c r="D79" s="1">
        <v>1.93345054916301E-2</v>
      </c>
      <c r="E79" s="1">
        <v>2.1653254597661299E-2</v>
      </c>
      <c r="F79" s="1">
        <v>7.30638103395468E-2</v>
      </c>
      <c r="G79" s="1">
        <v>1.12946255577277E-2</v>
      </c>
      <c r="H79" s="1">
        <v>5.7609086189676299E-2</v>
      </c>
      <c r="I79" s="1">
        <v>-4.0199399669511799E-3</v>
      </c>
      <c r="K79" s="6" t="s">
        <v>5</v>
      </c>
      <c r="L79" s="3">
        <f t="shared" si="14"/>
        <v>2.1653254597661299E-2</v>
      </c>
      <c r="M79" s="3">
        <f t="shared" si="15"/>
        <v>0.31301215257937115</v>
      </c>
      <c r="N79" s="3">
        <f t="shared" si="16"/>
        <v>0.18285210655802817</v>
      </c>
      <c r="O79" s="3">
        <f t="shared" si="17"/>
        <v>5.7609086189676299E-2</v>
      </c>
    </row>
    <row r="80" spans="1:20" x14ac:dyDescent="0.2">
      <c r="A80" s="1">
        <v>6.1769184781819003E-2</v>
      </c>
      <c r="B80" s="1">
        <v>2.19005069868216E-2</v>
      </c>
      <c r="C80" s="1">
        <v>5.9434429723835502E-2</v>
      </c>
      <c r="D80" s="1">
        <v>2.3347550579834999E-3</v>
      </c>
      <c r="E80" s="1">
        <v>0.75840609402096104</v>
      </c>
      <c r="F80" s="1">
        <v>6.2471173907837602E-2</v>
      </c>
      <c r="G80" s="1">
        <v>7.0198912601855603E-4</v>
      </c>
      <c r="H80" s="1">
        <v>0.90115595704153495</v>
      </c>
      <c r="I80" s="1">
        <v>-8.1638296598247504E-4</v>
      </c>
      <c r="K80" s="6" t="s">
        <v>6</v>
      </c>
      <c r="L80" s="3">
        <f t="shared" si="14"/>
        <v>0.75840609402096104</v>
      </c>
      <c r="M80" s="3">
        <f t="shared" si="15"/>
        <v>3.779805523142838E-2</v>
      </c>
      <c r="N80" s="3">
        <f t="shared" si="16"/>
        <v>1.136471411267804E-2</v>
      </c>
      <c r="O80" s="3">
        <f t="shared" si="17"/>
        <v>0.90115595704153495</v>
      </c>
    </row>
    <row r="81" spans="1:15" x14ac:dyDescent="0.2">
      <c r="A81" s="1">
        <v>6.1769184781819003E-2</v>
      </c>
      <c r="B81" s="1">
        <v>2.19005069868216E-2</v>
      </c>
      <c r="C81" s="1">
        <v>5.2126065512773802E-2</v>
      </c>
      <c r="D81" s="1">
        <v>9.6431192690452396E-3</v>
      </c>
      <c r="E81" s="1">
        <v>0.23376425157849101</v>
      </c>
      <c r="F81" s="1">
        <v>6.0607897136185598E-2</v>
      </c>
      <c r="G81" s="1">
        <v>-1.1612876456334399E-3</v>
      </c>
      <c r="H81" s="1">
        <v>0.88810987507708705</v>
      </c>
      <c r="I81" s="1">
        <v>-5.4022034573393404E-3</v>
      </c>
      <c r="K81" s="6" t="s">
        <v>7</v>
      </c>
      <c r="L81" s="3">
        <f t="shared" si="14"/>
        <v>0.23376425157849101</v>
      </c>
      <c r="M81" s="3">
        <f t="shared" si="15"/>
        <v>0.15611537214076318</v>
      </c>
      <c r="N81" s="3">
        <f t="shared" si="16"/>
        <v>-1.8800436653573102E-2</v>
      </c>
      <c r="O81" s="3">
        <f t="shared" si="17"/>
        <v>0.88810987507708705</v>
      </c>
    </row>
    <row r="82" spans="1:15" x14ac:dyDescent="0.2">
      <c r="A82" s="1">
        <v>6.1769184781819003E-2</v>
      </c>
      <c r="B82" s="1">
        <v>2.19005069868216E-2</v>
      </c>
      <c r="C82" s="1">
        <v>0.16166416342496201</v>
      </c>
      <c r="D82" s="1">
        <v>-9.9894978643143395E-2</v>
      </c>
      <c r="E82" s="1">
        <v>9.4430502889832396E-6</v>
      </c>
      <c r="F82" s="1">
        <v>3.4407906349493499E-2</v>
      </c>
      <c r="G82" s="1">
        <v>-2.7361278432325501E-2</v>
      </c>
      <c r="H82" s="1">
        <v>3.8005818452524903E-5</v>
      </c>
      <c r="I82" s="1">
        <v>3.62668501054089E-2</v>
      </c>
      <c r="K82" s="6" t="s">
        <v>8</v>
      </c>
      <c r="L82" s="5">
        <f t="shared" si="14"/>
        <v>9.4430502889832396E-6</v>
      </c>
      <c r="M82" s="3">
        <f t="shared" si="15"/>
        <v>-1.6172299990034229</v>
      </c>
      <c r="N82" s="3">
        <f t="shared" si="16"/>
        <v>-0.44296000552655757</v>
      </c>
      <c r="O82" s="5">
        <f t="shared" si="17"/>
        <v>3.8005818452524903E-5</v>
      </c>
    </row>
    <row r="83" spans="1:15" x14ac:dyDescent="0.2">
      <c r="A83" s="1">
        <v>6.1769184781819003E-2</v>
      </c>
      <c r="B83" s="1">
        <v>2.19005069868216E-2</v>
      </c>
      <c r="C83" s="1">
        <v>7.5944013668032606E-2</v>
      </c>
      <c r="D83" s="1">
        <v>-1.4174828886213599E-2</v>
      </c>
      <c r="E83" s="1">
        <v>4.2836151105432201E-2</v>
      </c>
      <c r="F83" s="1">
        <v>5.7152905247359997E-2</v>
      </c>
      <c r="G83" s="1">
        <v>-4.61627953445905E-3</v>
      </c>
      <c r="H83" s="1">
        <v>0.46308747600801897</v>
      </c>
      <c r="I83" s="1">
        <v>4.77927467587727E-3</v>
      </c>
      <c r="K83" s="6" t="s">
        <v>9</v>
      </c>
      <c r="L83" s="3">
        <f t="shared" si="14"/>
        <v>4.2836151105432201E-2</v>
      </c>
      <c r="M83" s="3">
        <f t="shared" si="15"/>
        <v>-0.22948058868320673</v>
      </c>
      <c r="N83" s="3">
        <f t="shared" si="16"/>
        <v>-7.473434449175044E-2</v>
      </c>
      <c r="O83" s="3">
        <f t="shared" si="17"/>
        <v>0.46308747600801897</v>
      </c>
    </row>
    <row r="84" spans="1:15" x14ac:dyDescent="0.2">
      <c r="A84" s="1">
        <v>6.1769184781819003E-2</v>
      </c>
      <c r="B84" s="1">
        <v>2.19005069868216E-2</v>
      </c>
      <c r="C84" s="1">
        <v>0.1886773604352</v>
      </c>
      <c r="D84" s="1">
        <v>-0.126908175653381</v>
      </c>
      <c r="E84" s="1">
        <v>4.3287573288331702E-10</v>
      </c>
      <c r="F84" s="1">
        <v>3.1589639447701399E-2</v>
      </c>
      <c r="G84" s="1">
        <v>-3.01795453341175E-2</v>
      </c>
      <c r="H84" s="1">
        <v>1.0129728200733201E-5</v>
      </c>
      <c r="I84" s="1">
        <v>4.8364315159631799E-2</v>
      </c>
      <c r="K84" s="6" t="s">
        <v>10</v>
      </c>
      <c r="L84" s="5">
        <f t="shared" si="14"/>
        <v>4.3287573288331702E-10</v>
      </c>
      <c r="M84" s="3">
        <f t="shared" si="15"/>
        <v>-2.0545548091924122</v>
      </c>
      <c r="N84" s="3">
        <f t="shared" si="16"/>
        <v>-0.48858578012187842</v>
      </c>
      <c r="O84" s="5">
        <f t="shared" si="17"/>
        <v>1.0129728200733201E-5</v>
      </c>
    </row>
    <row r="85" spans="1:15" x14ac:dyDescent="0.2">
      <c r="A85" s="1">
        <v>6.1769184781819003E-2</v>
      </c>
      <c r="B85" s="1">
        <v>2.19005069868216E-2</v>
      </c>
      <c r="C85" s="1">
        <v>2.98629913792035E-2</v>
      </c>
      <c r="D85" s="1">
        <v>3.1906193402615503E-2</v>
      </c>
      <c r="E85" s="1">
        <v>4.1009537532011903E-6</v>
      </c>
      <c r="F85" s="1">
        <v>0.130359023535597</v>
      </c>
      <c r="G85" s="1">
        <v>6.8589838753778096E-2</v>
      </c>
      <c r="H85" s="1">
        <v>1.52502277526925E-4</v>
      </c>
      <c r="I85" s="1">
        <v>1.8341822675581199E-2</v>
      </c>
      <c r="K85" s="6" t="s">
        <v>11</v>
      </c>
      <c r="L85" s="5">
        <f t="shared" si="14"/>
        <v>4.1009537532011903E-6</v>
      </c>
      <c r="M85" s="3">
        <f t="shared" si="15"/>
        <v>0.51653900752154169</v>
      </c>
      <c r="N85" s="3">
        <f t="shared" si="16"/>
        <v>1.1104216284552078</v>
      </c>
      <c r="O85" s="5">
        <f t="shared" si="17"/>
        <v>1.52502277526925E-4</v>
      </c>
    </row>
    <row r="86" spans="1:15" x14ac:dyDescent="0.2">
      <c r="A86" s="1">
        <v>6.1769184781819003E-2</v>
      </c>
      <c r="B86" s="1">
        <v>2.19005069868216E-2</v>
      </c>
      <c r="C86" s="1">
        <v>0.162152876663607</v>
      </c>
      <c r="D86" s="1">
        <v>-0.100383691881788</v>
      </c>
      <c r="E86" s="1">
        <v>3.7408663251419503E-5</v>
      </c>
      <c r="F86" s="1">
        <v>3.3997553350502203E-2</v>
      </c>
      <c r="G86" s="1">
        <v>-2.77716314313168E-2</v>
      </c>
      <c r="H86" s="1">
        <v>3.82001946195367E-5</v>
      </c>
      <c r="I86" s="1">
        <v>3.6306030225235597E-2</v>
      </c>
      <c r="K86" s="6" t="s">
        <v>12</v>
      </c>
      <c r="L86" s="5">
        <f t="shared" si="14"/>
        <v>3.7408663251419503E-5</v>
      </c>
      <c r="M86" s="3">
        <f t="shared" si="15"/>
        <v>-1.6251419253202561</v>
      </c>
      <c r="N86" s="3">
        <f t="shared" si="16"/>
        <v>-0.44960333424201249</v>
      </c>
      <c r="O86" s="5">
        <f t="shared" si="17"/>
        <v>3.82001946195367E-5</v>
      </c>
    </row>
    <row r="87" spans="1:15" x14ac:dyDescent="0.2">
      <c r="A87" s="1">
        <v>6.1769184781819003E-2</v>
      </c>
      <c r="B87" s="1">
        <v>2.19005069868216E-2</v>
      </c>
      <c r="C87" s="1">
        <v>6.1849561423192201E-2</v>
      </c>
      <c r="D87" s="1">
        <v>-8.0376641373239204E-5</v>
      </c>
      <c r="E87" s="1">
        <v>0.99133189062786498</v>
      </c>
      <c r="F87" s="1">
        <v>5.5980860050521698E-2</v>
      </c>
      <c r="G87" s="1">
        <v>-5.7883247312973301E-3</v>
      </c>
      <c r="H87" s="1">
        <v>0.40949364558111701</v>
      </c>
      <c r="I87" s="1">
        <v>-2.8539740449620501E-3</v>
      </c>
      <c r="K87" s="6" t="s">
        <v>13</v>
      </c>
      <c r="L87" s="3">
        <f t="shared" si="14"/>
        <v>0.99133189062786498</v>
      </c>
      <c r="M87" s="3">
        <f t="shared" si="15"/>
        <v>-1.3012417382088726E-3</v>
      </c>
      <c r="N87" s="3">
        <f t="shared" si="16"/>
        <v>-9.3708938392870811E-2</v>
      </c>
      <c r="O87" s="3">
        <f t="shared" si="17"/>
        <v>0.40949364558111701</v>
      </c>
    </row>
    <row r="88" spans="1:15" x14ac:dyDescent="0.2">
      <c r="A88" s="1">
        <v>6.1769184781819003E-2</v>
      </c>
      <c r="B88" s="1">
        <v>2.19005069868216E-2</v>
      </c>
      <c r="C88" s="1">
        <v>0.15708709677757601</v>
      </c>
      <c r="D88" s="1">
        <v>-9.5317911995757093E-2</v>
      </c>
      <c r="E88" s="1">
        <v>4.10740753533259E-4</v>
      </c>
      <c r="F88" s="1">
        <v>3.5276492380244898E-2</v>
      </c>
      <c r="G88" s="1">
        <v>-2.6492692401574001E-2</v>
      </c>
      <c r="H88" s="1">
        <v>4.8795212799022601E-5</v>
      </c>
      <c r="I88" s="1">
        <v>3.4412609797091501E-2</v>
      </c>
      <c r="K88" s="6" t="s">
        <v>14</v>
      </c>
      <c r="L88" s="5">
        <f t="shared" si="14"/>
        <v>4.10740753533259E-4</v>
      </c>
      <c r="M88" s="3">
        <f t="shared" si="15"/>
        <v>-1.5431304837912114</v>
      </c>
      <c r="N88" s="3">
        <f t="shared" si="16"/>
        <v>-0.42889820377509336</v>
      </c>
      <c r="O88" s="5">
        <f t="shared" si="17"/>
        <v>4.8795212799022601E-5</v>
      </c>
    </row>
    <row r="89" spans="1:15" x14ac:dyDescent="0.2">
      <c r="A89" s="1">
        <v>6.1769184781819003E-2</v>
      </c>
      <c r="B89" s="1">
        <v>2.19005069868216E-2</v>
      </c>
      <c r="C89" s="1">
        <v>7.0644915976540407E-2</v>
      </c>
      <c r="D89" s="1">
        <v>-8.8757311947214104E-3</v>
      </c>
      <c r="E89" s="1">
        <v>0.237787973505421</v>
      </c>
      <c r="F89" s="1">
        <v>5.0177603560530498E-2</v>
      </c>
      <c r="G89" s="1">
        <v>-1.15915812212885E-2</v>
      </c>
      <c r="H89" s="1">
        <v>0.146823845058519</v>
      </c>
      <c r="I89" s="1">
        <v>-1.3579250132835501E-3</v>
      </c>
      <c r="K89" s="6" t="s">
        <v>15</v>
      </c>
      <c r="L89" s="9">
        <f t="shared" si="14"/>
        <v>0.237787973505421</v>
      </c>
      <c r="M89" s="3">
        <f t="shared" si="15"/>
        <v>-0.14369189468943538</v>
      </c>
      <c r="N89" s="3">
        <f t="shared" si="16"/>
        <v>-0.18765961153983593</v>
      </c>
      <c r="O89" s="9">
        <f t="shared" si="17"/>
        <v>0.146823845058519</v>
      </c>
    </row>
    <row r="90" spans="1:15" x14ac:dyDescent="0.2">
      <c r="A90" s="1">
        <v>6.1769184781819003E-2</v>
      </c>
      <c r="B90" s="1">
        <v>2.19005069868216E-2</v>
      </c>
      <c r="C90" s="1">
        <v>1.09804261654375E-2</v>
      </c>
      <c r="D90" s="1">
        <v>5.0788758616381401E-2</v>
      </c>
      <c r="E90" s="1">
        <v>2.64659175957915E-9</v>
      </c>
      <c r="F90" s="1">
        <v>0.36933739370695701</v>
      </c>
      <c r="G90" s="1">
        <v>0.30756820892513798</v>
      </c>
      <c r="H90" s="1">
        <v>9.8134323677593698E-7</v>
      </c>
      <c r="I90" s="1">
        <v>0.12838972515437799</v>
      </c>
      <c r="K90" s="6" t="s">
        <v>16</v>
      </c>
      <c r="L90" s="5">
        <f t="shared" si="14"/>
        <v>2.64659175957915E-9</v>
      </c>
      <c r="M90" s="3">
        <f t="shared" si="15"/>
        <v>0.82223456235948977</v>
      </c>
      <c r="N90" s="3">
        <f t="shared" si="16"/>
        <v>4.9793146859802313</v>
      </c>
      <c r="O90" s="5">
        <f t="shared" si="17"/>
        <v>9.8134323677593698E-7</v>
      </c>
    </row>
    <row r="91" spans="1:15" x14ac:dyDescent="0.2">
      <c r="A91" s="1">
        <v>6.1769184781819003E-2</v>
      </c>
      <c r="B91" s="1">
        <v>2.19005069868216E-2</v>
      </c>
      <c r="C91" s="1">
        <v>8.0112257051219701E-2</v>
      </c>
      <c r="D91" s="1">
        <v>-1.8343072269400601E-2</v>
      </c>
      <c r="E91" s="1">
        <v>4.6031892997318996E-3</v>
      </c>
      <c r="F91" s="1">
        <v>5.3925902375207502E-2</v>
      </c>
      <c r="G91" s="1">
        <v>-7.8432824066114806E-3</v>
      </c>
      <c r="H91" s="1">
        <v>0.30092102987757102</v>
      </c>
      <c r="I91" s="1">
        <v>5.2498949313945801E-3</v>
      </c>
      <c r="K91" s="6" t="s">
        <v>17</v>
      </c>
      <c r="L91" s="5">
        <f t="shared" si="14"/>
        <v>4.6031892997318996E-3</v>
      </c>
      <c r="M91" s="3">
        <f t="shared" si="15"/>
        <v>-0.29696154051881962</v>
      </c>
      <c r="N91" s="3">
        <f t="shared" si="16"/>
        <v>-0.12697726923733102</v>
      </c>
      <c r="O91" s="3">
        <f t="shared" si="17"/>
        <v>0.30092102987757102</v>
      </c>
    </row>
    <row r="92" spans="1:15" x14ac:dyDescent="0.2">
      <c r="A92" s="1">
        <v>6.1769184781819003E-2</v>
      </c>
      <c r="B92" s="1">
        <v>2.19005069868216E-2</v>
      </c>
      <c r="C92" s="1">
        <v>9.0276880826774E-2</v>
      </c>
      <c r="D92" s="1">
        <v>-2.85076960449549E-2</v>
      </c>
      <c r="E92" s="1">
        <v>4.68331948739597E-3</v>
      </c>
      <c r="F92" s="1">
        <v>3.8549302978949401E-2</v>
      </c>
      <c r="G92" s="1">
        <v>-2.3219881802869598E-2</v>
      </c>
      <c r="H92" s="1">
        <v>1.00589121285814E-3</v>
      </c>
      <c r="I92" s="1">
        <v>2.6439071210426698E-3</v>
      </c>
      <c r="K92" s="6" t="s">
        <v>18</v>
      </c>
      <c r="L92" s="5">
        <f t="shared" si="14"/>
        <v>4.68331948739597E-3</v>
      </c>
      <c r="M92" s="3">
        <f t="shared" si="15"/>
        <v>-0.46151970672188292</v>
      </c>
      <c r="N92" s="3">
        <f t="shared" si="16"/>
        <v>-0.37591368390058605</v>
      </c>
      <c r="O92" s="5">
        <f t="shared" si="17"/>
        <v>1.00589121285814E-3</v>
      </c>
    </row>
    <row r="93" spans="1:15" x14ac:dyDescent="0.2">
      <c r="A93" s="1">
        <v>6.1769184781819003E-2</v>
      </c>
      <c r="B93" s="1">
        <v>2.19005069868216E-2</v>
      </c>
      <c r="C93" s="1">
        <v>4.58679551457273E-2</v>
      </c>
      <c r="D93" s="1">
        <v>1.5901229636091599E-2</v>
      </c>
      <c r="E93" s="1">
        <v>3.2804432934960097E-2</v>
      </c>
      <c r="F93" s="1">
        <v>7.6471806915009405E-2</v>
      </c>
      <c r="G93" s="1">
        <v>1.4702622133190299E-2</v>
      </c>
      <c r="H93" s="1">
        <v>3.3302498839315103E-2</v>
      </c>
      <c r="I93" s="1">
        <v>-5.9930375145064295E-4</v>
      </c>
      <c r="K93" s="6" t="s">
        <v>19</v>
      </c>
      <c r="L93" s="3">
        <f t="shared" si="14"/>
        <v>3.2804432934960097E-2</v>
      </c>
      <c r="M93" s="3">
        <f t="shared" si="15"/>
        <v>0.25742981216698735</v>
      </c>
      <c r="N93" s="3">
        <f t="shared" si="16"/>
        <v>0.23802519306548844</v>
      </c>
      <c r="O93" s="3">
        <f t="shared" si="17"/>
        <v>3.3302498839315103E-2</v>
      </c>
    </row>
    <row r="94" spans="1:15" x14ac:dyDescent="0.2">
      <c r="A94" s="1">
        <v>6.1769184781819003E-2</v>
      </c>
      <c r="B94" s="1">
        <v>2.19005069868216E-2</v>
      </c>
      <c r="C94" s="1">
        <v>5.6190533581381402E-2</v>
      </c>
      <c r="D94" s="1">
        <v>5.5786512004375802E-3</v>
      </c>
      <c r="E94" s="1">
        <v>0.31343989458938498</v>
      </c>
      <c r="F94" s="1">
        <v>6.9618286165955806E-2</v>
      </c>
      <c r="G94" s="1">
        <v>7.8491013841367804E-3</v>
      </c>
      <c r="H94" s="1">
        <v>0.28037250477757703</v>
      </c>
      <c r="I94" s="1">
        <v>1.1352250918496001E-3</v>
      </c>
      <c r="K94" s="6" t="s">
        <v>20</v>
      </c>
      <c r="L94" s="3">
        <f t="shared" si="14"/>
        <v>0.31343989458938498</v>
      </c>
      <c r="M94" s="3">
        <f t="shared" si="15"/>
        <v>9.0314470235320105E-2</v>
      </c>
      <c r="N94" s="3">
        <f t="shared" si="16"/>
        <v>0.12707147442306971</v>
      </c>
      <c r="O94" s="3">
        <f t="shared" si="17"/>
        <v>0.28037250477757703</v>
      </c>
    </row>
    <row r="95" spans="1:15" x14ac:dyDescent="0.2">
      <c r="A95" s="1">
        <v>6.1769184781819003E-2</v>
      </c>
      <c r="B95" s="1">
        <v>2.19005069868216E-2</v>
      </c>
      <c r="C95" s="1">
        <v>4.0959486123507999E-2</v>
      </c>
      <c r="D95" s="1">
        <v>2.0809698658311001E-2</v>
      </c>
      <c r="E95" s="1">
        <v>5.4115985759178604E-3</v>
      </c>
      <c r="F95" s="1">
        <v>7.6718025108198695E-2</v>
      </c>
      <c r="G95" s="1">
        <v>1.49488403263796E-2</v>
      </c>
      <c r="H95" s="1">
        <v>0.11462704026897</v>
      </c>
      <c r="I95" s="1">
        <v>-2.93042916596567E-3</v>
      </c>
      <c r="K95" s="6" t="s">
        <v>21</v>
      </c>
      <c r="L95" s="5">
        <f t="shared" si="14"/>
        <v>5.4115985759178604E-3</v>
      </c>
      <c r="M95" s="3">
        <f t="shared" si="15"/>
        <v>0.33689450058010284</v>
      </c>
      <c r="N95" s="3">
        <f t="shared" si="16"/>
        <v>0.24201129380583319</v>
      </c>
      <c r="O95" s="3">
        <f t="shared" si="17"/>
        <v>0.11462704026897</v>
      </c>
    </row>
    <row r="96" spans="1:15" x14ac:dyDescent="0.2">
      <c r="A96" s="1">
        <v>6.1769184781819003E-2</v>
      </c>
      <c r="B96" s="1">
        <v>2.19005069868216E-2</v>
      </c>
      <c r="C96" s="1">
        <v>5.4572115841078302E-2</v>
      </c>
      <c r="D96" s="1">
        <v>7.1970689407407102E-3</v>
      </c>
      <c r="E96" s="1">
        <v>0.21530260549819599</v>
      </c>
      <c r="F96" s="1">
        <v>7.6976053142506606E-2</v>
      </c>
      <c r="G96" s="1">
        <v>1.52068683606876E-2</v>
      </c>
      <c r="H96" s="1">
        <v>3.6617177804952099E-2</v>
      </c>
      <c r="I96" s="1">
        <v>4.0048997099734404E-3</v>
      </c>
      <c r="K96" s="6" t="s">
        <v>22</v>
      </c>
      <c r="L96" s="3">
        <f t="shared" si="14"/>
        <v>0.21530260549819599</v>
      </c>
      <c r="M96" s="3">
        <f t="shared" si="15"/>
        <v>0.11651552414302023</v>
      </c>
      <c r="N96" s="3">
        <f t="shared" si="16"/>
        <v>0.24618858763315837</v>
      </c>
      <c r="O96" s="3">
        <f t="shared" si="17"/>
        <v>3.6617177804952099E-2</v>
      </c>
    </row>
    <row r="97" spans="1:15" x14ac:dyDescent="0.2">
      <c r="A97" s="1">
        <v>6.1769184781819003E-2</v>
      </c>
      <c r="B97" s="1">
        <v>2.19005069868216E-2</v>
      </c>
      <c r="C97" s="1">
        <v>2.3673328250829899E-2</v>
      </c>
      <c r="D97" s="1">
        <v>3.8095856530989E-2</v>
      </c>
      <c r="E97" s="1">
        <v>2.2467980745871899E-7</v>
      </c>
      <c r="F97" s="1">
        <v>0.18264494124769901</v>
      </c>
      <c r="G97" s="1">
        <v>0.12087575646588</v>
      </c>
      <c r="H97" s="1">
        <v>7.3970900716493498E-6</v>
      </c>
      <c r="I97" s="1">
        <v>4.1389949967445501E-2</v>
      </c>
      <c r="K97" s="6" t="s">
        <v>23</v>
      </c>
      <c r="L97" s="5">
        <f t="shared" si="14"/>
        <v>2.2467980745871899E-7</v>
      </c>
      <c r="M97" s="3">
        <f t="shared" si="15"/>
        <v>0.61674533451511648</v>
      </c>
      <c r="N97" s="3">
        <f t="shared" si="16"/>
        <v>1.9568941518790821</v>
      </c>
      <c r="O97" s="5">
        <f t="shared" si="17"/>
        <v>7.3970900716493498E-6</v>
      </c>
    </row>
    <row r="98" spans="1:15" x14ac:dyDescent="0.2">
      <c r="A98" s="1">
        <v>6.1769184781819003E-2</v>
      </c>
      <c r="B98" s="1">
        <v>2.19005069868216E-2</v>
      </c>
      <c r="C98" s="1">
        <v>0.147716282799251</v>
      </c>
      <c r="D98" s="1">
        <v>-8.5947098017432E-2</v>
      </c>
      <c r="E98" s="1">
        <v>1.55242612215004E-4</v>
      </c>
      <c r="F98" s="1">
        <v>3.9317370848112002E-2</v>
      </c>
      <c r="G98" s="1">
        <v>-2.2451813933706901E-2</v>
      </c>
      <c r="H98" s="1">
        <v>3.4863613841042298E-4</v>
      </c>
      <c r="I98" s="1">
        <v>3.1747642041862499E-2</v>
      </c>
      <c r="K98" s="6" t="s">
        <v>24</v>
      </c>
      <c r="L98" s="5">
        <f t="shared" si="14"/>
        <v>1.55242612215004E-4</v>
      </c>
      <c r="M98" s="3">
        <f t="shared" si="15"/>
        <v>-1.3914235442966292</v>
      </c>
      <c r="N98" s="3">
        <f t="shared" si="16"/>
        <v>-0.36347920104516768</v>
      </c>
      <c r="O98" s="5">
        <f t="shared" si="17"/>
        <v>3.4863613841042298E-4</v>
      </c>
    </row>
    <row r="99" spans="1:15" ht="51" x14ac:dyDescent="0.2">
      <c r="L99" s="4" t="s">
        <v>0</v>
      </c>
      <c r="M99" s="4" t="s">
        <v>1</v>
      </c>
      <c r="N99" s="4" t="s">
        <v>2</v>
      </c>
      <c r="O99" s="4" t="s">
        <v>0</v>
      </c>
    </row>
    <row r="102" spans="1:15" x14ac:dyDescent="0.2">
      <c r="A102" t="s">
        <v>27</v>
      </c>
      <c r="L102" s="4"/>
      <c r="M102" s="4"/>
      <c r="N102" s="4"/>
      <c r="O102" s="4"/>
    </row>
    <row r="103" spans="1:15" ht="19" x14ac:dyDescent="0.25">
      <c r="L103" s="11" t="s">
        <v>29</v>
      </c>
      <c r="M103" s="12"/>
      <c r="N103" s="12"/>
      <c r="O103" s="12"/>
    </row>
    <row r="104" spans="1:15" x14ac:dyDescent="0.2">
      <c r="A104" s="1">
        <v>0.264113410466083</v>
      </c>
      <c r="B104" s="1">
        <v>6.2271272911502799E-2</v>
      </c>
      <c r="C104" s="1">
        <v>0.30131301197358301</v>
      </c>
      <c r="D104" s="1">
        <v>-3.7199601507499999E-2</v>
      </c>
      <c r="E104" s="1">
        <v>4.6811052065642199E-2</v>
      </c>
      <c r="F104" s="1">
        <v>0.22669852249594399</v>
      </c>
      <c r="G104" s="1">
        <v>-3.7414887970139199E-2</v>
      </c>
      <c r="H104" s="1">
        <v>1.93628341532881E-2</v>
      </c>
      <c r="I104" s="1">
        <v>-1.07643231319565E-4</v>
      </c>
      <c r="K104" s="6" t="s">
        <v>3</v>
      </c>
      <c r="L104" s="8">
        <f t="shared" ref="L104:L125" si="18">E104</f>
        <v>4.6811052065642199E-2</v>
      </c>
      <c r="M104" s="2">
        <f t="shared" ref="M104:M125" si="19">D104/A104</f>
        <v>-0.14084707566288879</v>
      </c>
      <c r="N104" s="3">
        <f t="shared" ref="N104:N125" si="20">G104/A104</f>
        <v>-0.14166220452082631</v>
      </c>
      <c r="O104" s="8">
        <f t="shared" ref="O104:O125" si="21">H104</f>
        <v>1.93628341532881E-2</v>
      </c>
    </row>
    <row r="105" spans="1:15" x14ac:dyDescent="0.2">
      <c r="A105" s="1">
        <v>0.264113410466083</v>
      </c>
      <c r="B105" s="1">
        <v>6.2271272911502799E-2</v>
      </c>
      <c r="C105" s="1">
        <v>0.20035871662534199</v>
      </c>
      <c r="D105" s="1">
        <v>6.3754693840740603E-2</v>
      </c>
      <c r="E105" s="1">
        <v>2.2979798448131299E-3</v>
      </c>
      <c r="F105" s="1">
        <v>0.31832090669509799</v>
      </c>
      <c r="G105" s="1">
        <v>5.4207496229014898E-2</v>
      </c>
      <c r="H105" s="1">
        <v>6.4168010588240296E-3</v>
      </c>
      <c r="I105" s="1">
        <v>-4.77359880586283E-3</v>
      </c>
      <c r="K105" s="6" t="s">
        <v>4</v>
      </c>
      <c r="L105" s="7">
        <f t="shared" si="18"/>
        <v>2.2979798448131299E-3</v>
      </c>
      <c r="M105" s="2">
        <f t="shared" si="19"/>
        <v>0.24139135429826225</v>
      </c>
      <c r="N105" s="3">
        <f t="shared" si="20"/>
        <v>0.20524325566564192</v>
      </c>
      <c r="O105" s="7">
        <f t="shared" si="21"/>
        <v>6.4168010588240296E-3</v>
      </c>
    </row>
    <row r="106" spans="1:15" x14ac:dyDescent="0.2">
      <c r="A106" s="1">
        <v>0.264113410466083</v>
      </c>
      <c r="B106" s="1">
        <v>6.2271272911502799E-2</v>
      </c>
      <c r="C106" s="1">
        <v>0.31081195872342698</v>
      </c>
      <c r="D106" s="1">
        <v>-4.6698548257344E-2</v>
      </c>
      <c r="E106" s="1">
        <v>6.6529242704980604E-2</v>
      </c>
      <c r="F106" s="1">
        <v>0.240645431090933</v>
      </c>
      <c r="G106" s="1">
        <v>-2.3467979375149699E-2</v>
      </c>
      <c r="H106" s="1">
        <v>0.127540851228017</v>
      </c>
      <c r="I106" s="1">
        <v>1.16152844410971E-2</v>
      </c>
      <c r="K106" s="6" t="s">
        <v>5</v>
      </c>
      <c r="L106" s="8">
        <f t="shared" si="18"/>
        <v>6.6529242704980604E-2</v>
      </c>
      <c r="M106" s="2">
        <f t="shared" si="19"/>
        <v>-0.17681248436016447</v>
      </c>
      <c r="N106" s="3">
        <f t="shared" si="20"/>
        <v>-8.8855690189057701E-2</v>
      </c>
      <c r="O106" s="8">
        <f t="shared" si="21"/>
        <v>0.127540851228017</v>
      </c>
    </row>
    <row r="107" spans="1:15" x14ac:dyDescent="0.2">
      <c r="A107" s="1">
        <v>0.264113410466083</v>
      </c>
      <c r="B107" s="1">
        <v>6.2271272911502799E-2</v>
      </c>
      <c r="C107" s="1">
        <v>0.26860775166800899</v>
      </c>
      <c r="D107" s="1">
        <v>-4.4943412019256002E-3</v>
      </c>
      <c r="E107" s="1">
        <v>0.82828668889479595</v>
      </c>
      <c r="F107" s="1">
        <v>0.26067869759154599</v>
      </c>
      <c r="G107" s="1">
        <v>-3.4347128745373899E-3</v>
      </c>
      <c r="H107" s="1">
        <v>0.82329329086091496</v>
      </c>
      <c r="I107" s="1">
        <v>5.2981416369410296E-4</v>
      </c>
      <c r="K107" s="6" t="s">
        <v>6</v>
      </c>
      <c r="L107" s="8">
        <f t="shared" si="18"/>
        <v>0.82828668889479595</v>
      </c>
      <c r="M107" s="2">
        <f t="shared" si="19"/>
        <v>-1.7016709579397733E-2</v>
      </c>
      <c r="N107" s="3">
        <f t="shared" si="20"/>
        <v>-1.3004689419125387E-2</v>
      </c>
      <c r="O107" s="8">
        <f t="shared" si="21"/>
        <v>0.82329329086091496</v>
      </c>
    </row>
    <row r="108" spans="1:15" x14ac:dyDescent="0.2">
      <c r="A108" s="1">
        <v>0.264113410466083</v>
      </c>
      <c r="B108" s="1">
        <v>6.2271272911502799E-2</v>
      </c>
      <c r="C108" s="1">
        <v>0.29163512665392399</v>
      </c>
      <c r="D108" s="1">
        <v>-2.75217161878408E-2</v>
      </c>
      <c r="E108" s="1">
        <v>0.235980139781096</v>
      </c>
      <c r="F108" s="1">
        <v>0.27015750610210298</v>
      </c>
      <c r="G108" s="1">
        <v>6.0440956360197596E-3</v>
      </c>
      <c r="H108" s="1">
        <v>0.79234336934875305</v>
      </c>
      <c r="I108" s="1">
        <v>1.6782905911930199E-2</v>
      </c>
      <c r="K108" s="6" t="s">
        <v>7</v>
      </c>
      <c r="L108" s="8">
        <f t="shared" si="18"/>
        <v>0.235980139781096</v>
      </c>
      <c r="M108" s="2">
        <f t="shared" si="19"/>
        <v>-0.10420416039940196</v>
      </c>
      <c r="N108" s="3">
        <f t="shared" si="20"/>
        <v>2.2884470823930133E-2</v>
      </c>
      <c r="O108" s="8">
        <f t="shared" si="21"/>
        <v>0.79234336934875305</v>
      </c>
    </row>
    <row r="109" spans="1:15" x14ac:dyDescent="0.2">
      <c r="A109" s="1">
        <v>0.264113410466083</v>
      </c>
      <c r="B109" s="1">
        <v>6.2271272911502799E-2</v>
      </c>
      <c r="C109" s="1">
        <v>8.5537173076718903E-2</v>
      </c>
      <c r="D109" s="1">
        <v>0.17857623738936401</v>
      </c>
      <c r="E109" s="1">
        <v>6.8016251830848401E-10</v>
      </c>
      <c r="F109" s="1">
        <v>0.49758401207884301</v>
      </c>
      <c r="G109" s="1">
        <v>0.23347060161276001</v>
      </c>
      <c r="H109" s="1">
        <v>4.4571807996319698E-15</v>
      </c>
      <c r="I109" s="1">
        <v>2.74471821116977E-2</v>
      </c>
      <c r="K109" s="6" t="s">
        <v>8</v>
      </c>
      <c r="L109" s="7">
        <f t="shared" si="18"/>
        <v>6.8016251830848401E-10</v>
      </c>
      <c r="M109" s="2">
        <f t="shared" si="19"/>
        <v>0.67613468424124745</v>
      </c>
      <c r="N109" s="3">
        <f t="shared" si="20"/>
        <v>0.8839785954100271</v>
      </c>
      <c r="O109" s="7">
        <f t="shared" si="21"/>
        <v>4.4571807996319698E-15</v>
      </c>
    </row>
    <row r="110" spans="1:15" x14ac:dyDescent="0.2">
      <c r="A110" s="1">
        <v>0.264113410466083</v>
      </c>
      <c r="B110" s="1">
        <v>6.2271272911502799E-2</v>
      </c>
      <c r="C110" s="1">
        <v>0.22385534336412799</v>
      </c>
      <c r="D110" s="1">
        <v>4.0258067101955099E-2</v>
      </c>
      <c r="E110" s="1">
        <v>3.4620637434115802E-2</v>
      </c>
      <c r="F110" s="1">
        <v>0.27926797078599203</v>
      </c>
      <c r="G110" s="1">
        <v>1.51545603199094E-2</v>
      </c>
      <c r="H110" s="1">
        <v>0.39233069252024</v>
      </c>
      <c r="I110" s="1">
        <v>-1.25517533910228E-2</v>
      </c>
      <c r="K110" s="6" t="s">
        <v>9</v>
      </c>
      <c r="L110" s="8">
        <f t="shared" si="18"/>
        <v>3.4620637434115802E-2</v>
      </c>
      <c r="M110" s="2">
        <f t="shared" si="19"/>
        <v>0.15242719796359971</v>
      </c>
      <c r="N110" s="3">
        <f t="shared" si="20"/>
        <v>5.7378988417006276E-2</v>
      </c>
      <c r="O110" s="8">
        <f t="shared" si="21"/>
        <v>0.39233069252024</v>
      </c>
    </row>
    <row r="111" spans="1:15" x14ac:dyDescent="0.2">
      <c r="A111" s="1">
        <v>0.264113410466083</v>
      </c>
      <c r="B111" s="1">
        <v>6.2271272911502799E-2</v>
      </c>
      <c r="C111" s="1">
        <v>6.3068042659780804E-2</v>
      </c>
      <c r="D111" s="1">
        <v>0.201045367806302</v>
      </c>
      <c r="E111" s="1">
        <v>4.4461009860741601E-13</v>
      </c>
      <c r="F111" s="1">
        <v>0.51289450372583001</v>
      </c>
      <c r="G111" s="1">
        <v>0.24878109325974601</v>
      </c>
      <c r="H111" s="1">
        <v>7.4770867152100303E-16</v>
      </c>
      <c r="I111" s="1">
        <v>2.3867862726721999E-2</v>
      </c>
      <c r="K111" s="6" t="s">
        <v>10</v>
      </c>
      <c r="L111" s="7">
        <f t="shared" si="18"/>
        <v>4.4461009860741601E-13</v>
      </c>
      <c r="M111" s="2">
        <f t="shared" si="19"/>
        <v>0.76120848029456611</v>
      </c>
      <c r="N111" s="3">
        <f t="shared" si="20"/>
        <v>0.94194797916819173</v>
      </c>
      <c r="O111" s="7">
        <f t="shared" si="21"/>
        <v>7.4770867152100303E-16</v>
      </c>
    </row>
    <row r="112" spans="1:15" x14ac:dyDescent="0.2">
      <c r="A112" s="1">
        <v>0.264113410466083</v>
      </c>
      <c r="B112" s="1">
        <v>6.2271272911502799E-2</v>
      </c>
      <c r="C112" s="1">
        <v>0.44495127033937398</v>
      </c>
      <c r="D112" s="1">
        <v>-0.18083785987329001</v>
      </c>
      <c r="E112" s="1">
        <v>4.4461868717914802E-12</v>
      </c>
      <c r="F112" s="1">
        <v>0.143724156925289</v>
      </c>
      <c r="G112" s="1">
        <v>-0.120389253540793</v>
      </c>
      <c r="H112" s="1">
        <v>3.9104655017233199E-5</v>
      </c>
      <c r="I112" s="1">
        <v>3.0224303166248401E-2</v>
      </c>
      <c r="K112" s="6" t="s">
        <v>11</v>
      </c>
      <c r="L112" s="7">
        <f t="shared" si="18"/>
        <v>4.4461868717914802E-12</v>
      </c>
      <c r="M112" s="2">
        <f t="shared" si="19"/>
        <v>-0.68469775750562623</v>
      </c>
      <c r="N112" s="3">
        <f t="shared" si="20"/>
        <v>-0.45582408454133827</v>
      </c>
      <c r="O112" s="7">
        <f t="shared" si="21"/>
        <v>3.9104655017233199E-5</v>
      </c>
    </row>
    <row r="113" spans="1:15" x14ac:dyDescent="0.2">
      <c r="A113" s="1">
        <v>0.264113410466083</v>
      </c>
      <c r="B113" s="1">
        <v>6.2271272911502799E-2</v>
      </c>
      <c r="C113" s="1">
        <v>9.2198105336747896E-2</v>
      </c>
      <c r="D113" s="1">
        <v>0.17191530512933501</v>
      </c>
      <c r="E113" s="1">
        <v>1.12323300283006E-8</v>
      </c>
      <c r="F113" s="1">
        <v>0.49873560000174999</v>
      </c>
      <c r="G113" s="1">
        <v>0.23462218953566599</v>
      </c>
      <c r="H113" s="1">
        <v>2.9078686158246902E-14</v>
      </c>
      <c r="I113" s="1">
        <v>3.1353442203165598E-2</v>
      </c>
      <c r="K113" s="6" t="s">
        <v>12</v>
      </c>
      <c r="L113" s="7">
        <f t="shared" si="18"/>
        <v>1.12323300283006E-8</v>
      </c>
      <c r="M113" s="2">
        <f t="shared" si="19"/>
        <v>0.65091471434924386</v>
      </c>
      <c r="N113" s="3">
        <f t="shared" si="20"/>
        <v>0.88833879779760661</v>
      </c>
      <c r="O113" s="7">
        <f t="shared" si="21"/>
        <v>2.9078686158246902E-14</v>
      </c>
    </row>
    <row r="114" spans="1:15" x14ac:dyDescent="0.2">
      <c r="A114" s="1">
        <v>0.264113410466083</v>
      </c>
      <c r="B114" s="1">
        <v>6.2271272911502799E-2</v>
      </c>
      <c r="C114" s="1">
        <v>0.188936319098024</v>
      </c>
      <c r="D114" s="1">
        <v>7.5177091368059099E-2</v>
      </c>
      <c r="E114" s="1">
        <v>6.9532525126935003E-5</v>
      </c>
      <c r="F114" s="1">
        <v>0.42716728153222899</v>
      </c>
      <c r="G114" s="1">
        <v>0.16305387106614599</v>
      </c>
      <c r="H114" s="1">
        <v>2.2916877461915999E-5</v>
      </c>
      <c r="I114" s="1">
        <v>4.3938389849043601E-2</v>
      </c>
      <c r="K114" s="6" t="s">
        <v>13</v>
      </c>
      <c r="L114" s="7">
        <f t="shared" si="18"/>
        <v>6.9532525126935003E-5</v>
      </c>
      <c r="M114" s="2">
        <f t="shared" si="19"/>
        <v>0.28463943286860555</v>
      </c>
      <c r="N114" s="3">
        <f t="shared" si="20"/>
        <v>0.6173630895091754</v>
      </c>
      <c r="O114" s="7">
        <f t="shared" si="21"/>
        <v>2.2916877461915999E-5</v>
      </c>
    </row>
    <row r="115" spans="1:15" x14ac:dyDescent="0.2">
      <c r="A115" s="1">
        <v>0.264113410466083</v>
      </c>
      <c r="B115" s="1">
        <v>6.2271272911502799E-2</v>
      </c>
      <c r="C115" s="1">
        <v>7.2561246195698495E-2</v>
      </c>
      <c r="D115" s="1">
        <v>0.19155216427038399</v>
      </c>
      <c r="E115" s="1">
        <v>5.0353286538977899E-12</v>
      </c>
      <c r="F115" s="1">
        <v>0.80580338778818195</v>
      </c>
      <c r="G115" s="1">
        <v>0.541689977322098</v>
      </c>
      <c r="H115" s="1">
        <v>3.4167273961126098E-22</v>
      </c>
      <c r="I115" s="1">
        <v>0.17506890652585599</v>
      </c>
      <c r="K115" s="6" t="s">
        <v>14</v>
      </c>
      <c r="L115" s="7">
        <f t="shared" si="18"/>
        <v>5.0353286538977899E-12</v>
      </c>
      <c r="M115" s="2">
        <f t="shared" si="19"/>
        <v>0.72526481685405675</v>
      </c>
      <c r="N115" s="3">
        <f t="shared" si="20"/>
        <v>2.0509749064470957</v>
      </c>
      <c r="O115" s="7">
        <f t="shared" si="21"/>
        <v>3.4167273961126098E-22</v>
      </c>
    </row>
    <row r="116" spans="1:15" x14ac:dyDescent="0.2">
      <c r="A116" s="1">
        <v>0.264113410466083</v>
      </c>
      <c r="B116" s="1">
        <v>6.2271272911502799E-2</v>
      </c>
      <c r="C116" s="1">
        <v>0.28202499086332899</v>
      </c>
      <c r="D116" s="1">
        <v>-1.7911580397246E-2</v>
      </c>
      <c r="E116" s="1">
        <v>0.34232270442569901</v>
      </c>
      <c r="F116" s="1">
        <v>0.272305696957167</v>
      </c>
      <c r="G116" s="1">
        <v>8.1922864910836096E-3</v>
      </c>
      <c r="H116" s="1">
        <v>0.74340352698073298</v>
      </c>
      <c r="I116" s="1">
        <v>1.30519334441648E-2</v>
      </c>
      <c r="K116" s="6" t="s">
        <v>15</v>
      </c>
      <c r="L116" s="8">
        <f t="shared" si="18"/>
        <v>0.34232270442569901</v>
      </c>
      <c r="M116" s="2">
        <f t="shared" si="19"/>
        <v>-6.7817761944148514E-2</v>
      </c>
      <c r="N116" s="3">
        <f t="shared" si="20"/>
        <v>3.1018063326003088E-2</v>
      </c>
      <c r="O116" s="8">
        <f t="shared" si="21"/>
        <v>0.74340352698073298</v>
      </c>
    </row>
    <row r="117" spans="1:15" x14ac:dyDescent="0.2">
      <c r="A117" s="1">
        <v>0.264113410466083</v>
      </c>
      <c r="B117" s="1">
        <v>6.2271272911502799E-2</v>
      </c>
      <c r="C117" s="1">
        <v>0.27442685126822303</v>
      </c>
      <c r="D117" s="1">
        <v>-1.0313440802139799E-2</v>
      </c>
      <c r="E117" s="1">
        <v>0.49595046540216298</v>
      </c>
      <c r="F117" s="1">
        <v>0.122455442162282</v>
      </c>
      <c r="G117" s="1">
        <v>-0.14165796830380101</v>
      </c>
      <c r="H117" s="1">
        <v>2.85862030186213E-3</v>
      </c>
      <c r="I117" s="1">
        <v>-6.5672263750830601E-2</v>
      </c>
      <c r="K117" s="6" t="s">
        <v>16</v>
      </c>
      <c r="L117" s="8">
        <f t="shared" si="18"/>
        <v>0.49595046540216298</v>
      </c>
      <c r="M117" s="2">
        <f t="shared" si="19"/>
        <v>-3.9049288651945353E-2</v>
      </c>
      <c r="N117" s="3">
        <f t="shared" si="20"/>
        <v>-0.53635280409963315</v>
      </c>
      <c r="O117" s="7">
        <f t="shared" si="21"/>
        <v>2.85862030186213E-3</v>
      </c>
    </row>
    <row r="118" spans="1:15" x14ac:dyDescent="0.2">
      <c r="A118" s="1">
        <v>0.264113410466083</v>
      </c>
      <c r="B118" s="1">
        <v>6.2271272911502799E-2</v>
      </c>
      <c r="C118" s="1">
        <v>0.231212496587796</v>
      </c>
      <c r="D118" s="1">
        <v>3.2900913878287003E-2</v>
      </c>
      <c r="E118" s="1">
        <v>4.1839774402846301E-2</v>
      </c>
      <c r="F118" s="1">
        <v>0.283794717490022</v>
      </c>
      <c r="G118" s="1">
        <v>1.96813070239392E-2</v>
      </c>
      <c r="H118" s="1">
        <v>0.37449508353163502</v>
      </c>
      <c r="I118" s="1">
        <v>-6.6098034271739299E-3</v>
      </c>
      <c r="K118" s="6" t="s">
        <v>17</v>
      </c>
      <c r="L118" s="8">
        <f t="shared" si="18"/>
        <v>4.1839774402846301E-2</v>
      </c>
      <c r="M118" s="2">
        <f t="shared" si="19"/>
        <v>0.124571159867371</v>
      </c>
      <c r="N118" s="3">
        <f t="shared" si="20"/>
        <v>7.4518393402317001E-2</v>
      </c>
      <c r="O118" s="8">
        <f t="shared" si="21"/>
        <v>0.37449508353163502</v>
      </c>
    </row>
    <row r="119" spans="1:15" x14ac:dyDescent="0.2">
      <c r="A119" s="1">
        <v>0.264113410466083</v>
      </c>
      <c r="B119" s="1">
        <v>6.2271272911502799E-2</v>
      </c>
      <c r="C119" s="1">
        <v>0.240631733138195</v>
      </c>
      <c r="D119" s="1">
        <v>2.3481677327888101E-2</v>
      </c>
      <c r="E119" s="1">
        <v>0.31180379969859801</v>
      </c>
      <c r="F119" s="1">
        <v>0.30129595925470498</v>
      </c>
      <c r="G119" s="1">
        <v>3.7182548788622302E-2</v>
      </c>
      <c r="H119" s="1">
        <v>6.4752394047599499E-2</v>
      </c>
      <c r="I119" s="1">
        <v>6.8504357303671003E-3</v>
      </c>
      <c r="K119" s="6" t="s">
        <v>18</v>
      </c>
      <c r="L119" s="8">
        <f t="shared" si="18"/>
        <v>0.31180379969859801</v>
      </c>
      <c r="M119" s="2">
        <f t="shared" si="19"/>
        <v>8.8907554093712246E-2</v>
      </c>
      <c r="N119" s="3">
        <f t="shared" si="20"/>
        <v>0.14078250976732293</v>
      </c>
      <c r="O119" s="8">
        <f t="shared" si="21"/>
        <v>6.4752394047599499E-2</v>
      </c>
    </row>
    <row r="120" spans="1:15" x14ac:dyDescent="0.2">
      <c r="A120" s="1">
        <v>0.264113410466083</v>
      </c>
      <c r="B120" s="1">
        <v>6.2271272911502799E-2</v>
      </c>
      <c r="C120" s="1">
        <v>0.311743818389563</v>
      </c>
      <c r="D120" s="1">
        <v>-4.7630407923480202E-2</v>
      </c>
      <c r="E120" s="1">
        <v>2.5434514947625501E-2</v>
      </c>
      <c r="F120" s="1">
        <v>0.22975479439834201</v>
      </c>
      <c r="G120" s="1">
        <v>-3.4358616067740801E-2</v>
      </c>
      <c r="H120" s="1">
        <v>4.4955386447605203E-2</v>
      </c>
      <c r="I120" s="1">
        <v>6.6358959278696701E-3</v>
      </c>
      <c r="K120" s="6" t="s">
        <v>19</v>
      </c>
      <c r="L120" s="8">
        <f t="shared" si="18"/>
        <v>2.5434514947625501E-2</v>
      </c>
      <c r="M120" s="2">
        <f t="shared" si="19"/>
        <v>-0.18034074013669524</v>
      </c>
      <c r="N120" s="3">
        <f t="shared" si="20"/>
        <v>-0.1300903880916455</v>
      </c>
      <c r="O120" s="8">
        <f t="shared" si="21"/>
        <v>4.4955386447605203E-2</v>
      </c>
    </row>
    <row r="121" spans="1:15" x14ac:dyDescent="0.2">
      <c r="A121" s="1">
        <v>0.264113410466083</v>
      </c>
      <c r="B121" s="1">
        <v>6.2271272911502799E-2</v>
      </c>
      <c r="C121" s="1">
        <v>0.34543295911271199</v>
      </c>
      <c r="D121" s="1">
        <v>-8.13195486466292E-2</v>
      </c>
      <c r="E121" s="1">
        <v>1.7744617559344701E-5</v>
      </c>
      <c r="F121" s="1">
        <v>0.20166356068407601</v>
      </c>
      <c r="G121" s="1">
        <v>-6.2449849782007197E-2</v>
      </c>
      <c r="H121" s="1">
        <v>1.0482394488295699E-3</v>
      </c>
      <c r="I121" s="1">
        <v>9.4348494323110103E-3</v>
      </c>
      <c r="K121" s="6" t="s">
        <v>20</v>
      </c>
      <c r="L121" s="7">
        <f t="shared" si="18"/>
        <v>1.7744617559344701E-5</v>
      </c>
      <c r="M121" s="2">
        <f t="shared" si="19"/>
        <v>-0.30789632568495462</v>
      </c>
      <c r="N121" s="3">
        <f t="shared" si="20"/>
        <v>-0.23645088551846519</v>
      </c>
      <c r="O121" s="7">
        <f t="shared" si="21"/>
        <v>1.0482394488295699E-3</v>
      </c>
    </row>
    <row r="122" spans="1:15" x14ac:dyDescent="0.2">
      <c r="A122" s="1">
        <v>0.264113410466083</v>
      </c>
      <c r="B122" s="1">
        <v>6.2271272911502799E-2</v>
      </c>
      <c r="C122" s="1">
        <v>0.71779271599595895</v>
      </c>
      <c r="D122" s="1">
        <v>-0.45367930552987601</v>
      </c>
      <c r="E122" s="1">
        <v>1.6832255916511801E-8</v>
      </c>
      <c r="F122" s="1">
        <v>0.147930522815055</v>
      </c>
      <c r="G122" s="1">
        <v>-0.11618288765102799</v>
      </c>
      <c r="H122" s="1">
        <v>9.6420653743055496E-8</v>
      </c>
      <c r="I122" s="1">
        <v>0.16874820893942399</v>
      </c>
      <c r="K122" s="6" t="s">
        <v>21</v>
      </c>
      <c r="L122" s="7">
        <f t="shared" si="18"/>
        <v>1.6832255916511801E-8</v>
      </c>
      <c r="M122" s="2">
        <f t="shared" si="19"/>
        <v>-1.7177443005611286</v>
      </c>
      <c r="N122" s="3">
        <f t="shared" si="20"/>
        <v>-0.43989772214140566</v>
      </c>
      <c r="O122" s="7">
        <f t="shared" si="21"/>
        <v>9.6420653743055496E-8</v>
      </c>
    </row>
    <row r="123" spans="1:15" x14ac:dyDescent="0.2">
      <c r="A123" s="1">
        <v>0.264113410466083</v>
      </c>
      <c r="B123" s="1">
        <v>6.2271272911502799E-2</v>
      </c>
      <c r="C123" s="1">
        <v>0.49199513633168401</v>
      </c>
      <c r="D123" s="1">
        <v>-0.22788172586560099</v>
      </c>
      <c r="E123" s="1">
        <v>1.8706951041436001E-13</v>
      </c>
      <c r="F123" s="1">
        <v>0.15778112962049901</v>
      </c>
      <c r="G123" s="1">
        <v>-0.10633228084558401</v>
      </c>
      <c r="H123" s="1">
        <v>3.0989632839671001E-7</v>
      </c>
      <c r="I123" s="1">
        <v>6.0774722510008497E-2</v>
      </c>
      <c r="K123" s="6" t="s">
        <v>22</v>
      </c>
      <c r="L123" s="7">
        <f t="shared" si="18"/>
        <v>1.8706951041436001E-13</v>
      </c>
      <c r="M123" s="2">
        <f t="shared" si="19"/>
        <v>-0.86281770192379226</v>
      </c>
      <c r="N123" s="3">
        <f t="shared" si="20"/>
        <v>-0.40260083976023253</v>
      </c>
      <c r="O123" s="7">
        <f t="shared" si="21"/>
        <v>3.0989632839671001E-7</v>
      </c>
    </row>
    <row r="124" spans="1:15" x14ac:dyDescent="0.2">
      <c r="A124" s="1">
        <v>0.264113410466083</v>
      </c>
      <c r="B124" s="1">
        <v>6.2271272911502799E-2</v>
      </c>
      <c r="C124" s="1">
        <v>0.36564780593332302</v>
      </c>
      <c r="D124" s="1">
        <v>-0.10153439546724</v>
      </c>
      <c r="E124" s="1">
        <v>6.6542032036577205E-7</v>
      </c>
      <c r="F124" s="1">
        <v>0.14987614824682799</v>
      </c>
      <c r="G124" s="1">
        <v>-0.114237262219254</v>
      </c>
      <c r="H124" s="1">
        <v>1.25808862367892E-3</v>
      </c>
      <c r="I124" s="1">
        <v>-6.3514333760070199E-3</v>
      </c>
      <c r="K124" s="6" t="s">
        <v>23</v>
      </c>
      <c r="L124" s="7">
        <f t="shared" si="18"/>
        <v>6.6542032036577205E-7</v>
      </c>
      <c r="M124" s="2">
        <f t="shared" si="19"/>
        <v>-0.38443483535372724</v>
      </c>
      <c r="N124" s="3">
        <f t="shared" si="20"/>
        <v>-0.43253109343315288</v>
      </c>
      <c r="O124" s="7">
        <f t="shared" si="21"/>
        <v>1.25808862367892E-3</v>
      </c>
    </row>
    <row r="125" spans="1:15" x14ac:dyDescent="0.2">
      <c r="A125" s="1">
        <v>0.264113410466083</v>
      </c>
      <c r="B125" s="1">
        <v>6.2271272911502799E-2</v>
      </c>
      <c r="C125" s="1">
        <v>0.12808296223847501</v>
      </c>
      <c r="D125" s="1">
        <v>0.13603044822760799</v>
      </c>
      <c r="E125" s="1">
        <v>1.05009919838188E-4</v>
      </c>
      <c r="F125" s="1">
        <v>0.40245699288695602</v>
      </c>
      <c r="G125" s="1">
        <v>0.138343582420872</v>
      </c>
      <c r="H125" s="1">
        <v>2.35451871780647E-9</v>
      </c>
      <c r="I125" s="1">
        <v>1.1565670966323599E-3</v>
      </c>
      <c r="K125" s="6" t="s">
        <v>24</v>
      </c>
      <c r="L125" s="7">
        <f t="shared" si="18"/>
        <v>1.05009919838188E-4</v>
      </c>
      <c r="M125" s="2">
        <f t="shared" si="19"/>
        <v>0.51504559343485812</v>
      </c>
      <c r="N125" s="3">
        <f t="shared" si="20"/>
        <v>0.52380370302566615</v>
      </c>
      <c r="O125" s="7">
        <f t="shared" si="21"/>
        <v>2.35451871780647E-9</v>
      </c>
    </row>
    <row r="126" spans="1:15" ht="51" x14ac:dyDescent="0.2">
      <c r="L126" s="4" t="s">
        <v>0</v>
      </c>
      <c r="M126" s="4" t="s">
        <v>1</v>
      </c>
      <c r="N126" s="4" t="s">
        <v>2</v>
      </c>
      <c r="O126" s="4" t="s">
        <v>0</v>
      </c>
    </row>
  </sheetData>
  <mergeCells count="5">
    <mergeCell ref="L76:O76"/>
    <mergeCell ref="L103:O103"/>
    <mergeCell ref="L1:O1"/>
    <mergeCell ref="L26:O26"/>
    <mergeCell ref="L51:O51"/>
  </mergeCells>
  <conditionalFormatting sqref="M2:N23">
    <cfRule type="colorScale" priority="12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27:N48">
    <cfRule type="colorScale" priority="13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52:N73">
    <cfRule type="colorScale" priority="16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104:N125">
    <cfRule type="colorScale" priority="18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77:N98">
    <cfRule type="colorScale" priority="19">
      <colorScale>
        <cfvo type="min"/>
        <cfvo type="num" val="0"/>
        <cfvo type="max"/>
        <color theme="4"/>
        <color theme="0"/>
        <color rgb="FFC00000"/>
      </colorScale>
    </cfRule>
    <cfRule type="colorScale" priority="20">
      <colorScale>
        <cfvo type="min"/>
        <cfvo type="num" val="0"/>
        <cfvo type="max"/>
        <color rgb="FF0070C0"/>
        <color theme="0"/>
        <color rgb="FFC00000"/>
      </colorScale>
    </cfRule>
  </conditionalFormatting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Tab.Baseline.GrowthRate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Aponte-Serrano, Josua Oscar</dc:creator>
  <cp:lastModifiedBy>Microsoft Office User</cp:lastModifiedBy>
  <dcterms:created xsi:type="dcterms:W3CDTF">2020-10-30T00:15:00Z</dcterms:created>
  <dcterms:modified xsi:type="dcterms:W3CDTF">2021-07-01T15:57:51Z</dcterms:modified>
</cp:coreProperties>
</file>