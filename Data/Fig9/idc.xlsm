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workbookPr defaultThemeVersion="166925"/>
  <mc:AlternateContent xmlns:mc="http://schemas.openxmlformats.org/markup-compatibility/2006">
    <mc:Choice Requires="x15">
      <x15ac:absPath xmlns:x15ac="http://schemas.microsoft.com/office/spreadsheetml/2010/11/ac" url="/Users/joaponte/Desktop/Project_IFN/RevisionData/Fig9/"/>
    </mc:Choice>
  </mc:AlternateContent>
  <xr:revisionPtr revIDLastSave="0" documentId="13_ncr:1_{7078DADA-400E-8045-8E11-9110F2A9E152}" xr6:coauthVersionLast="47" xr6:coauthVersionMax="47" xr10:uidLastSave="{00000000-0000-0000-0000-000000000000}"/>
  <bookViews>
    <workbookView xWindow="900" yWindow="3300" windowWidth="27740" windowHeight="17500" xr2:uid="{00000000-000D-0000-FFFF-FFFF00000000}"/>
  </bookViews>
  <sheets>
    <sheet name="Tab.Baseline.GrowthRate" sheetId="1" r:id="rId1"/>
  </sheets>
  <definedNames>
    <definedName name="_xlnm.Print_Area" localSheetId="0">Tab.Baseline.GrowthRate!$U$1:$AN$24</definedName>
  </definedNames>
  <calcPr calcId="191029"/>
</workbook>
</file>

<file path=xl/calcChain.xml><?xml version="1.0" encoding="utf-8"?>
<calcChain xmlns="http://schemas.openxmlformats.org/spreadsheetml/2006/main">
  <c r="M104" i="1" l="1"/>
  <c r="S125" i="1" l="1"/>
  <c r="O125" i="1"/>
  <c r="N125" i="1"/>
  <c r="M125" i="1"/>
  <c r="L125" i="1"/>
  <c r="S124" i="1"/>
  <c r="O124" i="1"/>
  <c r="N124" i="1"/>
  <c r="M124" i="1"/>
  <c r="L124" i="1"/>
  <c r="S123" i="1"/>
  <c r="O123" i="1"/>
  <c r="N123" i="1"/>
  <c r="M123" i="1"/>
  <c r="L123" i="1"/>
  <c r="S122" i="1"/>
  <c r="O122" i="1"/>
  <c r="N122" i="1"/>
  <c r="M122" i="1"/>
  <c r="L122" i="1"/>
  <c r="S121" i="1"/>
  <c r="O121" i="1"/>
  <c r="N121" i="1"/>
  <c r="M121" i="1"/>
  <c r="L121" i="1"/>
  <c r="S120" i="1"/>
  <c r="O120" i="1"/>
  <c r="N120" i="1"/>
  <c r="M120" i="1"/>
  <c r="L120" i="1"/>
  <c r="S119" i="1"/>
  <c r="O119" i="1"/>
  <c r="N119" i="1"/>
  <c r="M119" i="1"/>
  <c r="L119" i="1"/>
  <c r="S118" i="1"/>
  <c r="O118" i="1"/>
  <c r="N118" i="1"/>
  <c r="M118" i="1"/>
  <c r="L118" i="1"/>
  <c r="S117" i="1"/>
  <c r="O117" i="1"/>
  <c r="N117" i="1"/>
  <c r="M117" i="1"/>
  <c r="L117" i="1"/>
  <c r="S116" i="1"/>
  <c r="O116" i="1"/>
  <c r="N116" i="1"/>
  <c r="M116" i="1"/>
  <c r="L116" i="1"/>
  <c r="S115" i="1"/>
  <c r="O115" i="1"/>
  <c r="N115" i="1"/>
  <c r="M115" i="1"/>
  <c r="L115" i="1"/>
  <c r="S114" i="1"/>
  <c r="O114" i="1"/>
  <c r="N114" i="1"/>
  <c r="M114" i="1"/>
  <c r="L114" i="1"/>
  <c r="S113" i="1"/>
  <c r="O113" i="1"/>
  <c r="N113" i="1"/>
  <c r="M113" i="1"/>
  <c r="L113" i="1"/>
  <c r="S112" i="1"/>
  <c r="O112" i="1"/>
  <c r="N112" i="1"/>
  <c r="M112" i="1"/>
  <c r="L112" i="1"/>
  <c r="S111" i="1"/>
  <c r="O111" i="1"/>
  <c r="N111" i="1"/>
  <c r="M111" i="1"/>
  <c r="L111" i="1"/>
  <c r="S110" i="1"/>
  <c r="O110" i="1"/>
  <c r="N110" i="1"/>
  <c r="M110" i="1"/>
  <c r="L110" i="1"/>
  <c r="S109" i="1"/>
  <c r="O109" i="1"/>
  <c r="N109" i="1"/>
  <c r="M109" i="1"/>
  <c r="L109" i="1"/>
  <c r="S108" i="1"/>
  <c r="O108" i="1"/>
  <c r="N108" i="1"/>
  <c r="M108" i="1"/>
  <c r="L108" i="1"/>
  <c r="S107" i="1"/>
  <c r="O107" i="1"/>
  <c r="N107" i="1"/>
  <c r="M107" i="1"/>
  <c r="L107" i="1"/>
  <c r="S106" i="1"/>
  <c r="O106" i="1"/>
  <c r="N106" i="1"/>
  <c r="M106" i="1"/>
  <c r="L106" i="1"/>
  <c r="S105" i="1"/>
  <c r="O105" i="1"/>
  <c r="N105" i="1"/>
  <c r="M105" i="1"/>
  <c r="L105" i="1"/>
  <c r="O104" i="1"/>
  <c r="N104" i="1"/>
  <c r="L104" i="1"/>
  <c r="S99" i="1"/>
  <c r="O99" i="1"/>
  <c r="N99" i="1"/>
  <c r="M99" i="1"/>
  <c r="L99" i="1"/>
  <c r="S98" i="1"/>
  <c r="O98" i="1"/>
  <c r="N98" i="1"/>
  <c r="M98" i="1"/>
  <c r="L98" i="1"/>
  <c r="S97" i="1"/>
  <c r="O97" i="1"/>
  <c r="N97" i="1"/>
  <c r="M97" i="1"/>
  <c r="L97" i="1"/>
  <c r="S96" i="1"/>
  <c r="O96" i="1"/>
  <c r="N96" i="1"/>
  <c r="M96" i="1"/>
  <c r="L96" i="1"/>
  <c r="S95" i="1"/>
  <c r="O95" i="1"/>
  <c r="N95" i="1"/>
  <c r="M95" i="1"/>
  <c r="L95" i="1"/>
  <c r="S94" i="1"/>
  <c r="O94" i="1"/>
  <c r="N94" i="1"/>
  <c r="M94" i="1"/>
  <c r="L94" i="1"/>
  <c r="S93" i="1"/>
  <c r="O93" i="1"/>
  <c r="N93" i="1"/>
  <c r="M93" i="1"/>
  <c r="L93" i="1"/>
  <c r="S92" i="1"/>
  <c r="O92" i="1"/>
  <c r="N92" i="1"/>
  <c r="M92" i="1"/>
  <c r="L92" i="1"/>
  <c r="S91" i="1"/>
  <c r="O91" i="1"/>
  <c r="N91" i="1"/>
  <c r="M91" i="1"/>
  <c r="L91" i="1"/>
  <c r="S90" i="1"/>
  <c r="O90" i="1"/>
  <c r="N90" i="1"/>
  <c r="M90" i="1"/>
  <c r="L90" i="1"/>
  <c r="S89" i="1"/>
  <c r="O89" i="1"/>
  <c r="N89" i="1"/>
  <c r="M89" i="1"/>
  <c r="L89" i="1"/>
  <c r="S88" i="1"/>
  <c r="O88" i="1"/>
  <c r="N88" i="1"/>
  <c r="M88" i="1"/>
  <c r="L88" i="1"/>
  <c r="S87" i="1"/>
  <c r="O87" i="1"/>
  <c r="N87" i="1"/>
  <c r="M87" i="1"/>
  <c r="L87" i="1"/>
  <c r="S86" i="1"/>
  <c r="O86" i="1"/>
  <c r="N86" i="1"/>
  <c r="M86" i="1"/>
  <c r="L86" i="1"/>
  <c r="S85" i="1"/>
  <c r="O85" i="1"/>
  <c r="N85" i="1"/>
  <c r="M85" i="1"/>
  <c r="L85" i="1"/>
  <c r="S84" i="1"/>
  <c r="O84" i="1"/>
  <c r="N84" i="1"/>
  <c r="M84" i="1"/>
  <c r="L84" i="1"/>
  <c r="S83" i="1"/>
  <c r="O83" i="1"/>
  <c r="N83" i="1"/>
  <c r="M83" i="1"/>
  <c r="L83" i="1"/>
  <c r="S82" i="1"/>
  <c r="O82" i="1"/>
  <c r="N82" i="1"/>
  <c r="M82" i="1"/>
  <c r="L82" i="1"/>
  <c r="S81" i="1"/>
  <c r="O81" i="1"/>
  <c r="N81" i="1"/>
  <c r="M81" i="1"/>
  <c r="L81" i="1"/>
  <c r="S80" i="1"/>
  <c r="O80" i="1"/>
  <c r="N80" i="1"/>
  <c r="M80" i="1"/>
  <c r="L80" i="1"/>
  <c r="S79" i="1"/>
  <c r="O79" i="1"/>
  <c r="N79" i="1"/>
  <c r="M79" i="1"/>
  <c r="L79" i="1"/>
  <c r="S78" i="1"/>
  <c r="O78" i="1"/>
  <c r="N78" i="1"/>
  <c r="M78" i="1"/>
  <c r="L78" i="1"/>
  <c r="S52" i="1" l="1"/>
  <c r="S53" i="1"/>
  <c r="S54" i="1"/>
  <c r="S55" i="1"/>
  <c r="S56" i="1"/>
  <c r="S57" i="1"/>
  <c r="S58" i="1"/>
  <c r="S59" i="1"/>
  <c r="S60" i="1"/>
  <c r="S61" i="1"/>
  <c r="S62" i="1"/>
  <c r="S63" i="1"/>
  <c r="S64" i="1"/>
  <c r="S65" i="1"/>
  <c r="S66" i="1"/>
  <c r="S67" i="1"/>
  <c r="S68" i="1"/>
  <c r="S69" i="1"/>
  <c r="S70" i="1"/>
  <c r="S71" i="1"/>
  <c r="S72" i="1"/>
  <c r="S73" i="1"/>
  <c r="S28" i="1"/>
  <c r="S29" i="1"/>
  <c r="S30" i="1"/>
  <c r="S31" i="1"/>
  <c r="S32" i="1"/>
  <c r="S33" i="1"/>
  <c r="S34" i="1"/>
  <c r="S35" i="1"/>
  <c r="S36" i="1"/>
  <c r="S37" i="1"/>
  <c r="S38" i="1"/>
  <c r="S39" i="1"/>
  <c r="S40" i="1"/>
  <c r="S41" i="1"/>
  <c r="S42" i="1"/>
  <c r="S43" i="1"/>
  <c r="S44" i="1"/>
  <c r="S45" i="1"/>
  <c r="S46" i="1"/>
  <c r="S47" i="1"/>
  <c r="S48" i="1"/>
  <c r="S4" i="1"/>
  <c r="S5" i="1"/>
  <c r="S6" i="1"/>
  <c r="S7" i="1"/>
  <c r="S8" i="1"/>
  <c r="S9" i="1"/>
  <c r="S10" i="1"/>
  <c r="S11" i="1"/>
  <c r="S12" i="1"/>
  <c r="S13" i="1"/>
  <c r="S14" i="1"/>
  <c r="S15" i="1"/>
  <c r="S16" i="1"/>
  <c r="S17" i="1"/>
  <c r="S18" i="1"/>
  <c r="S19" i="1"/>
  <c r="S20" i="1"/>
  <c r="S21" i="1"/>
  <c r="S22" i="1"/>
  <c r="S23" i="1"/>
  <c r="S2" i="1"/>
  <c r="S3" i="1"/>
  <c r="O66" i="1" l="1"/>
  <c r="O67" i="1"/>
  <c r="O68" i="1"/>
  <c r="O69" i="1"/>
  <c r="O70" i="1"/>
  <c r="O71" i="1"/>
  <c r="O72" i="1"/>
  <c r="O73" i="1"/>
  <c r="N66" i="1"/>
  <c r="N67" i="1"/>
  <c r="N68" i="1"/>
  <c r="N69" i="1"/>
  <c r="N70" i="1"/>
  <c r="N71" i="1"/>
  <c r="N72" i="1"/>
  <c r="N73" i="1"/>
  <c r="M66" i="1"/>
  <c r="M67" i="1"/>
  <c r="M68" i="1"/>
  <c r="M69" i="1"/>
  <c r="M70" i="1"/>
  <c r="M71" i="1"/>
  <c r="M72" i="1"/>
  <c r="M73" i="1"/>
  <c r="L66" i="1"/>
  <c r="L67" i="1"/>
  <c r="L68" i="1"/>
  <c r="L69" i="1"/>
  <c r="L70" i="1"/>
  <c r="L71" i="1"/>
  <c r="L72" i="1"/>
  <c r="L73" i="1"/>
  <c r="O52" i="1"/>
  <c r="O53" i="1"/>
  <c r="O54" i="1"/>
  <c r="O55" i="1"/>
  <c r="O56" i="1"/>
  <c r="O57" i="1"/>
  <c r="O58" i="1"/>
  <c r="O59" i="1"/>
  <c r="O60" i="1"/>
  <c r="O61" i="1"/>
  <c r="O62" i="1"/>
  <c r="O63" i="1"/>
  <c r="O64" i="1"/>
  <c r="O65" i="1"/>
  <c r="N52" i="1"/>
  <c r="N53" i="1"/>
  <c r="N54" i="1"/>
  <c r="N55" i="1"/>
  <c r="N56" i="1"/>
  <c r="N57" i="1"/>
  <c r="N58" i="1"/>
  <c r="N59" i="1"/>
  <c r="N60" i="1"/>
  <c r="N61" i="1"/>
  <c r="N62" i="1"/>
  <c r="N63" i="1"/>
  <c r="N64" i="1"/>
  <c r="N65" i="1"/>
  <c r="M52" i="1"/>
  <c r="M53" i="1"/>
  <c r="M54" i="1"/>
  <c r="M55" i="1"/>
  <c r="M56" i="1"/>
  <c r="M57" i="1"/>
  <c r="M58" i="1"/>
  <c r="M59" i="1"/>
  <c r="M60" i="1"/>
  <c r="M61" i="1"/>
  <c r="M62" i="1"/>
  <c r="M63" i="1"/>
  <c r="M64" i="1"/>
  <c r="M65" i="1"/>
  <c r="L52" i="1"/>
  <c r="L53" i="1"/>
  <c r="L54" i="1"/>
  <c r="L55" i="1"/>
  <c r="L56" i="1"/>
  <c r="L57" i="1"/>
  <c r="L58" i="1"/>
  <c r="L59" i="1"/>
  <c r="L60" i="1"/>
  <c r="L61" i="1"/>
  <c r="L62" i="1"/>
  <c r="L63" i="1"/>
  <c r="L64" i="1"/>
  <c r="L65" i="1"/>
  <c r="O28" i="1"/>
  <c r="O29" i="1"/>
  <c r="O30" i="1"/>
  <c r="O31" i="1"/>
  <c r="O32" i="1"/>
  <c r="O33" i="1"/>
  <c r="O34" i="1"/>
  <c r="O35" i="1"/>
  <c r="O36" i="1"/>
  <c r="O37" i="1"/>
  <c r="O38" i="1"/>
  <c r="O39" i="1"/>
  <c r="O40" i="1"/>
  <c r="O41" i="1"/>
  <c r="O42" i="1"/>
  <c r="O43" i="1"/>
  <c r="O44" i="1"/>
  <c r="O45" i="1"/>
  <c r="O46" i="1"/>
  <c r="O47" i="1"/>
  <c r="O48" i="1"/>
  <c r="O27" i="1"/>
  <c r="N29" i="1"/>
  <c r="N28" i="1"/>
  <c r="N30" i="1"/>
  <c r="N31" i="1"/>
  <c r="N32" i="1"/>
  <c r="N33" i="1"/>
  <c r="N34" i="1"/>
  <c r="N35" i="1"/>
  <c r="N36" i="1"/>
  <c r="N37" i="1"/>
  <c r="N38" i="1"/>
  <c r="N39" i="1"/>
  <c r="N40" i="1"/>
  <c r="N41" i="1"/>
  <c r="N42" i="1"/>
  <c r="N43" i="1"/>
  <c r="N44" i="1"/>
  <c r="N45" i="1"/>
  <c r="N46" i="1"/>
  <c r="N47" i="1"/>
  <c r="N48" i="1"/>
  <c r="N27" i="1"/>
  <c r="M28" i="1"/>
  <c r="M29" i="1"/>
  <c r="M30" i="1"/>
  <c r="M31" i="1"/>
  <c r="M32" i="1"/>
  <c r="M33" i="1"/>
  <c r="M34" i="1"/>
  <c r="M35" i="1"/>
  <c r="M36" i="1"/>
  <c r="M37" i="1"/>
  <c r="M38" i="1"/>
  <c r="M39" i="1"/>
  <c r="M40" i="1"/>
  <c r="M41" i="1"/>
  <c r="M42" i="1"/>
  <c r="M43" i="1"/>
  <c r="M44" i="1"/>
  <c r="M45" i="1"/>
  <c r="M46" i="1"/>
  <c r="M47" i="1"/>
  <c r="M48" i="1"/>
  <c r="M27" i="1"/>
  <c r="L28" i="1"/>
  <c r="L29" i="1"/>
  <c r="L30" i="1"/>
  <c r="L31" i="1"/>
  <c r="L32" i="1"/>
  <c r="L33" i="1"/>
  <c r="L34" i="1"/>
  <c r="L35" i="1"/>
  <c r="L36" i="1"/>
  <c r="L37" i="1"/>
  <c r="L38" i="1"/>
  <c r="L39" i="1"/>
  <c r="L40" i="1"/>
  <c r="L41" i="1"/>
  <c r="L42" i="1"/>
  <c r="L43" i="1"/>
  <c r="L44" i="1"/>
  <c r="L45" i="1"/>
  <c r="L46" i="1"/>
  <c r="L47" i="1"/>
  <c r="L48" i="1"/>
  <c r="L27" i="1"/>
  <c r="O3" i="1"/>
  <c r="O4" i="1"/>
  <c r="O5" i="1"/>
  <c r="O6" i="1"/>
  <c r="O7" i="1"/>
  <c r="O8" i="1"/>
  <c r="O9" i="1"/>
  <c r="O10" i="1"/>
  <c r="O11" i="1"/>
  <c r="O12" i="1"/>
  <c r="O13" i="1"/>
  <c r="O14" i="1"/>
  <c r="O15" i="1"/>
  <c r="O16" i="1"/>
  <c r="O17" i="1"/>
  <c r="O18" i="1"/>
  <c r="O19" i="1"/>
  <c r="O20" i="1"/>
  <c r="O21" i="1"/>
  <c r="O22" i="1"/>
  <c r="O23" i="1"/>
  <c r="O2" i="1"/>
  <c r="N3" i="1"/>
  <c r="N4" i="1"/>
  <c r="N5" i="1"/>
  <c r="N6" i="1"/>
  <c r="N7" i="1"/>
  <c r="N8" i="1"/>
  <c r="N9" i="1"/>
  <c r="N10" i="1"/>
  <c r="N11" i="1"/>
  <c r="N12" i="1"/>
  <c r="N13" i="1"/>
  <c r="N14" i="1"/>
  <c r="N15" i="1"/>
  <c r="N16" i="1"/>
  <c r="N17" i="1"/>
  <c r="N18" i="1"/>
  <c r="N19" i="1"/>
  <c r="N20" i="1"/>
  <c r="N21" i="1"/>
  <c r="N22" i="1"/>
  <c r="N23" i="1"/>
  <c r="N2" i="1"/>
  <c r="M3" i="1"/>
  <c r="M4" i="1"/>
  <c r="M5" i="1"/>
  <c r="M6" i="1"/>
  <c r="M7" i="1"/>
  <c r="M8" i="1"/>
  <c r="M9" i="1"/>
  <c r="M10" i="1"/>
  <c r="M11" i="1"/>
  <c r="M12" i="1"/>
  <c r="M13" i="1"/>
  <c r="M14" i="1"/>
  <c r="M15" i="1"/>
  <c r="M16" i="1"/>
  <c r="M17" i="1"/>
  <c r="M18" i="1"/>
  <c r="M19" i="1"/>
  <c r="M20" i="1"/>
  <c r="M21" i="1"/>
  <c r="M22" i="1"/>
  <c r="M23" i="1"/>
  <c r="M2" i="1"/>
  <c r="L2" i="1"/>
  <c r="L3" i="1"/>
  <c r="L4" i="1"/>
  <c r="L5" i="1"/>
  <c r="L6" i="1"/>
  <c r="L7" i="1"/>
  <c r="L8" i="1"/>
  <c r="L9" i="1"/>
  <c r="L10" i="1"/>
  <c r="L11" i="1"/>
  <c r="L12" i="1"/>
  <c r="L13" i="1"/>
  <c r="L14" i="1"/>
  <c r="L15" i="1"/>
  <c r="L16" i="1"/>
  <c r="L17" i="1"/>
  <c r="L18" i="1"/>
  <c r="L19" i="1"/>
  <c r="L20" i="1"/>
  <c r="L21" i="1"/>
  <c r="L22" i="1"/>
  <c r="L23" i="1"/>
</calcChain>
</file>

<file path=xl/sharedStrings.xml><?xml version="1.0" encoding="utf-8"?>
<sst xmlns="http://schemas.openxmlformats.org/spreadsheetml/2006/main" count="183" uniqueCount="45">
  <si>
    <t>p-value -</t>
  </si>
  <si>
    <t>down -</t>
  </si>
  <si>
    <t>up -</t>
  </si>
  <si>
    <t>beta -</t>
  </si>
  <si>
    <t>c -</t>
  </si>
  <si>
    <t>k -</t>
  </si>
  <si>
    <t>k12 -</t>
  </si>
  <si>
    <t>k13 -</t>
  </si>
  <si>
    <t>k14 -</t>
  </si>
  <si>
    <t>k21 -</t>
  </si>
  <si>
    <t>k31 -</t>
  </si>
  <si>
    <t>k32 -</t>
  </si>
  <si>
    <t>k41 -</t>
  </si>
  <si>
    <t>k42 -</t>
  </si>
  <si>
    <t>k51 -</t>
  </si>
  <si>
    <t>k61 -</t>
  </si>
  <si>
    <t>k71 -</t>
  </si>
  <si>
    <t>k72 -</t>
  </si>
  <si>
    <t>k73 -</t>
  </si>
  <si>
    <t>n -</t>
  </si>
  <si>
    <t>t3 -</t>
  </si>
  <si>
    <t>t4 -</t>
  </si>
  <si>
    <t>t5 -</t>
  </si>
  <si>
    <t>vdc -</t>
  </si>
  <si>
    <t>idc -</t>
  </si>
  <si>
    <t>Growth Rate -</t>
  </si>
  <si>
    <t>IDC</t>
  </si>
  <si>
    <t>K31</t>
  </si>
  <si>
    <t>Ve AUC -</t>
  </si>
  <si>
    <t>Ve Max -</t>
  </si>
  <si>
    <t>IFNe Max -</t>
  </si>
  <si>
    <t>BASELINE</t>
  </si>
  <si>
    <t>- 0.00</t>
  </si>
  <si>
    <t>-3.40</t>
  </si>
  <si>
    <t>-0.85</t>
  </si>
  <si>
    <t>-2.55</t>
  </si>
  <si>
    <t>-1.70</t>
  </si>
  <si>
    <t>IFNe AUC -</t>
  </si>
  <si>
    <t>NEW</t>
  </si>
  <si>
    <t>We chose the color scheme to maximize the visibility of the variability in sensitivies. Black values correspond to either zero or to small variabilities. However there are very few cases were the variability is between 0-0.25. Weve added the table of numerical values in the supplentary material such that people can do their own mapping</t>
  </si>
  <si>
    <t>High IFN Diff Growth Rate</t>
  </si>
  <si>
    <t>High IFN Diff Ve Max</t>
  </si>
  <si>
    <t>High IFN Diff IFNe Max</t>
  </si>
  <si>
    <t>High IFN Diff IFNe AUC</t>
  </si>
  <si>
    <t>High IFN Diff Ve AUC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</si>
</sst>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
  </numFmts>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4"/>
      <color theme="1"/>
      <name val="Calibri (Body)"/>
    </font>
    <font>
      <b/>
      <sz val="14"/>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1">
    <xf numFmtId="0" fontId="0" fillId="0" borderId="0" xfId="0"/>
    <xf numFmtId="11" fontId="0" fillId="0" borderId="0" xfId="0" applyNumberFormat="1"/>
    <xf numFmtId="164" fontId="0" fillId="0" borderId="0" xfId="0" applyNumberFormat="1"/>
    <xf numFmtId="164" fontId="0" fillId="0" borderId="0" xfId="0" applyNumberFormat="1" applyAlignment="1">
      <alignment horizontal="center"/>
    </xf>
    <xf numFmtId="0" fontId="16" fillId="0" borderId="0" xfId="0" applyFont="1" applyAlignment="1">
      <alignment horizontal="center" vertical="top" textRotation="90"/>
    </xf>
    <xf numFmtId="164" fontId="0" fillId="33" borderId="0" xfId="0" applyNumberFormat="1" applyFill="1" applyAlignment="1">
      <alignment horizontal="center"/>
    </xf>
    <xf numFmtId="0" fontId="16" fillId="0" borderId="0" xfId="0" applyFont="1" applyAlignment="1">
      <alignment horizontal="right"/>
    </xf>
    <xf numFmtId="164" fontId="0" fillId="33" borderId="0" xfId="0" applyNumberFormat="1" applyFill="1"/>
    <xf numFmtId="164" fontId="0" fillId="0" borderId="0" xfId="0" applyNumberFormat="1" applyFill="1"/>
    <xf numFmtId="164" fontId="0" fillId="0" borderId="0" xfId="0" applyNumberFormat="1" applyFill="1" applyAlignment="1">
      <alignment horizontal="center"/>
    </xf>
    <xf numFmtId="0" fontId="0" fillId="0" borderId="0" xfId="0" applyAlignment="1">
      <alignment horizontal="center"/>
    </xf>
    <xf numFmtId="0" fontId="16" fillId="0" borderId="0" xfId="0" applyFont="1" applyFill="1" applyAlignment="1">
      <alignment horizontal="center" vertical="top" textRotation="90"/>
    </xf>
    <xf numFmtId="0" fontId="0" fillId="0" borderId="0" xfId="0" applyFill="1"/>
    <xf numFmtId="164" fontId="0" fillId="0" borderId="0" xfId="0" applyNumberFormat="1" applyAlignment="1">
      <alignment horizontal="center" vertical="center"/>
    </xf>
    <xf numFmtId="165" fontId="0" fillId="0" borderId="0" xfId="0" applyNumberFormat="1"/>
    <xf numFmtId="49" fontId="16" fillId="0" borderId="0" xfId="0" applyNumberFormat="1" applyFont="1" applyAlignment="1">
      <alignment horizontal="left"/>
    </xf>
    <xf numFmtId="49" fontId="16" fillId="0" borderId="0" xfId="0" applyNumberFormat="1" applyFont="1" applyFill="1"/>
    <xf numFmtId="49" fontId="16" fillId="0" borderId="0" xfId="0" applyNumberFormat="1" applyFont="1"/>
    <xf numFmtId="0" fontId="18" fillId="0" borderId="0" xfId="0" applyFont="1" applyAlignment="1">
      <alignment horizontal="center"/>
    </xf>
    <xf numFmtId="0" fontId="0" fillId="0" borderId="0" xfId="0" applyAlignment="1">
      <alignment horizontal="center"/>
    </xf>
    <xf numFmtId="0" fontId="19"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2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42</xdr:col>
      <xdr:colOff>482600</xdr:colOff>
      <xdr:row>1</xdr:row>
      <xdr:rowOff>25400</xdr:rowOff>
    </xdr:from>
    <xdr:to>
      <xdr:col>42</xdr:col>
      <xdr:colOff>736600</xdr:colOff>
      <xdr:row>23</xdr:row>
      <xdr:rowOff>12700</xdr:rowOff>
    </xdr:to>
    <xdr:sp macro="" textlink="">
      <xdr:nvSpPr>
        <xdr:cNvPr id="4" name="Rectangle 3">
          <a:extLst>
            <a:ext uri="{FF2B5EF4-FFF2-40B4-BE49-F238E27FC236}">
              <a16:creationId xmlns:a16="http://schemas.microsoft.com/office/drawing/2014/main" id="{41BE6858-2447-FA48-8DCD-1F6107BD0FDB}"/>
            </a:ext>
          </a:extLst>
        </xdr:cNvPr>
        <xdr:cNvSpPr/>
      </xdr:nvSpPr>
      <xdr:spPr>
        <a:xfrm>
          <a:off x="23863300" y="266700"/>
          <a:ext cx="254000" cy="4457700"/>
        </a:xfrm>
        <a:prstGeom prst="rect">
          <a:avLst/>
        </a:prstGeom>
        <a:gradFill>
          <a:gsLst>
            <a:gs pos="0">
              <a:srgbClr val="FF0000"/>
            </a:gs>
            <a:gs pos="75000">
              <a:schemeClr val="accent4">
                <a:lumMod val="20000"/>
                <a:lumOff val="80000"/>
              </a:schemeClr>
            </a:gs>
            <a:gs pos="100000">
              <a:schemeClr val="tx1"/>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P126"/>
  <sheetViews>
    <sheetView tabSelected="1" topLeftCell="L1" zoomScaleNormal="100" zoomScalePageLayoutView="80" workbookViewId="0">
      <selection activeCell="U2" sqref="U2:AN24"/>
    </sheetView>
  </sheetViews>
  <sheetFormatPr baseColWidth="10" defaultRowHeight="16" x14ac:dyDescent="0.2"/>
  <cols>
    <col min="11" max="11" width="6" bestFit="1" customWidth="1"/>
    <col min="12" max="12" width="5.6640625" style="12" bestFit="1" customWidth="1"/>
    <col min="13" max="13" width="9.33203125" bestFit="1" customWidth="1"/>
    <col min="14" max="14" width="9.33203125" style="10" customWidth="1"/>
    <col min="15" max="15" width="5.6640625" style="12" bestFit="1" customWidth="1"/>
    <col min="20" max="20" width="10.83203125" customWidth="1"/>
    <col min="21" max="21" width="6.83203125" customWidth="1"/>
    <col min="22" max="30" width="3.83203125" customWidth="1"/>
    <col min="31" max="31" width="4.83203125" customWidth="1"/>
    <col min="32" max="38" width="3.83203125" customWidth="1"/>
    <col min="39" max="40" width="6.83203125" customWidth="1"/>
  </cols>
  <sheetData>
    <row r="1" spans="1:40" ht="19" x14ac:dyDescent="0.25">
      <c r="L1" s="18" t="s">
        <v>40</v>
      </c>
      <c r="M1" s="19"/>
      <c r="N1" s="19"/>
      <c r="O1" s="19"/>
      <c r="V1" s="20" t="s">
        <v>31</v>
      </c>
      <c r="W1" s="20"/>
      <c r="X1" s="20"/>
      <c r="Y1" s="20"/>
      <c r="Z1" s="20"/>
      <c r="AB1" s="20" t="s">
        <v>27</v>
      </c>
      <c r="AC1" s="20"/>
      <c r="AD1" s="20"/>
      <c r="AE1" s="20"/>
      <c r="AF1" s="20"/>
      <c r="AH1" s="20" t="s">
        <v>26</v>
      </c>
      <c r="AI1" s="20"/>
      <c r="AJ1" s="20"/>
      <c r="AK1" s="20"/>
      <c r="AL1" s="20"/>
    </row>
    <row r="2" spans="1:40" x14ac:dyDescent="0.2">
      <c r="A2" s="1">
        <v>0.33328998730849202</v>
      </c>
      <c r="B2" s="1">
        <v>0.114221027997386</v>
      </c>
      <c r="C2" s="1">
        <v>0.29599480804477801</v>
      </c>
      <c r="D2" s="1">
        <v>3.7295179263714298E-2</v>
      </c>
      <c r="E2" s="1">
        <v>0.24167982797071699</v>
      </c>
      <c r="F2" s="1">
        <v>0.38260586295674098</v>
      </c>
      <c r="G2" s="1">
        <v>4.9315875648248603E-2</v>
      </c>
      <c r="H2" s="1">
        <v>0.125693063305544</v>
      </c>
      <c r="I2" s="1">
        <v>6.0103481922671401E-3</v>
      </c>
      <c r="K2" s="6" t="s">
        <v>3</v>
      </c>
      <c r="L2" s="9">
        <f>E2</f>
        <v>0.24167982797071699</v>
      </c>
      <c r="M2" s="3">
        <f>D2/A2</f>
        <v>0.11190008906326374</v>
      </c>
      <c r="N2" s="3">
        <f>G2/A2</f>
        <v>0.14796686827138916</v>
      </c>
      <c r="O2" s="9">
        <f>H2</f>
        <v>0.125693063305544</v>
      </c>
      <c r="Q2">
        <v>0</v>
      </c>
      <c r="R2">
        <v>0</v>
      </c>
      <c r="S2">
        <f>(ABS(Q2)+ABS(R2))/2</f>
        <v>0</v>
      </c>
      <c r="U2" s="6" t="s">
        <v>3</v>
      </c>
      <c r="V2" s="14">
        <v>0</v>
      </c>
      <c r="W2" s="14">
        <v>0</v>
      </c>
      <c r="X2" s="14">
        <v>0</v>
      </c>
      <c r="Y2" s="14">
        <v>0</v>
      </c>
      <c r="Z2" s="14">
        <v>0</v>
      </c>
      <c r="AB2" s="14">
        <v>0.49690410837641069</v>
      </c>
      <c r="AC2" s="14">
        <v>0</v>
      </c>
      <c r="AD2" s="14">
        <v>0.27897574123989222</v>
      </c>
      <c r="AE2" s="14">
        <v>0</v>
      </c>
      <c r="AF2" s="14">
        <v>0</v>
      </c>
      <c r="AH2" s="14">
        <v>0</v>
      </c>
      <c r="AI2" s="14">
        <v>0</v>
      </c>
      <c r="AJ2" s="14">
        <v>0</v>
      </c>
      <c r="AK2" s="14">
        <v>0</v>
      </c>
      <c r="AL2" s="14">
        <v>0</v>
      </c>
      <c r="AN2" s="16" t="s">
        <v>33</v>
      </c>
    </row>
    <row r="3" spans="1:40" x14ac:dyDescent="0.2">
      <c r="A3" s="1">
        <v>0.33328998730849202</v>
      </c>
      <c r="B3" s="1">
        <v>0.114221027997386</v>
      </c>
      <c r="C3" s="1">
        <v>0.56479866327079498</v>
      </c>
      <c r="D3" s="1">
        <v>-0.23150867596230201</v>
      </c>
      <c r="E3" s="1">
        <v>4.0442917489718203E-8</v>
      </c>
      <c r="F3" s="1">
        <v>0.20291011386324001</v>
      </c>
      <c r="G3" s="1">
        <v>-0.13037987344525201</v>
      </c>
      <c r="H3" s="1">
        <v>3.05939148859395E-4</v>
      </c>
      <c r="I3" s="1">
        <v>5.0564401258524801E-2</v>
      </c>
      <c r="K3" s="6" t="s">
        <v>4</v>
      </c>
      <c r="L3" s="5">
        <f t="shared" ref="L3:L23" si="0">E3</f>
        <v>4.0442917489718203E-8</v>
      </c>
      <c r="M3" s="3">
        <f t="shared" ref="M3:M23" si="1">D3/A3</f>
        <v>-0.69461635446017289</v>
      </c>
      <c r="N3" s="3">
        <f t="shared" ref="N3:N23" si="2">G3/A3</f>
        <v>-0.39119048999384692</v>
      </c>
      <c r="O3" s="5">
        <f t="shared" ref="O3:O23" si="3">H3</f>
        <v>3.05939148859395E-4</v>
      </c>
      <c r="Q3">
        <v>-0.69461635446017289</v>
      </c>
      <c r="R3">
        <v>-0.39119048999384692</v>
      </c>
      <c r="S3">
        <f>(ABS(Q3)+ABS(R3))/2</f>
        <v>0.54290342222700994</v>
      </c>
      <c r="U3" s="6" t="s">
        <v>4</v>
      </c>
      <c r="V3" s="14">
        <v>5.6183041432309316E-2</v>
      </c>
      <c r="W3" s="14">
        <v>5.6183041432309316E-2</v>
      </c>
      <c r="X3" s="14">
        <v>0.40275115375791348</v>
      </c>
      <c r="Y3" s="14">
        <v>8.3022963374227404E-2</v>
      </c>
      <c r="Z3" s="14">
        <v>0</v>
      </c>
      <c r="AB3" s="14">
        <v>1.703185358787688</v>
      </c>
      <c r="AC3" s="14">
        <v>0.57841343534666323</v>
      </c>
      <c r="AD3" s="14">
        <v>0.85175202156334229</v>
      </c>
      <c r="AE3" s="14">
        <v>0.15547405936000805</v>
      </c>
      <c r="AF3" s="14">
        <v>0.22284806855329342</v>
      </c>
      <c r="AH3" s="14">
        <v>0.54290342222700994</v>
      </c>
      <c r="AI3" s="14">
        <v>0.48112707769497448</v>
      </c>
      <c r="AJ3" s="14">
        <v>0.51201524996099224</v>
      </c>
      <c r="AK3" s="14">
        <v>0</v>
      </c>
      <c r="AL3" s="14">
        <v>0</v>
      </c>
      <c r="AN3" s="14"/>
    </row>
    <row r="4" spans="1:40" x14ac:dyDescent="0.2">
      <c r="A4" s="1">
        <v>0.33328998730849202</v>
      </c>
      <c r="B4" s="1">
        <v>0.114221027997386</v>
      </c>
      <c r="C4" s="1">
        <v>0.33807643742327897</v>
      </c>
      <c r="D4" s="1">
        <v>-4.7864501147864003E-3</v>
      </c>
      <c r="E4" s="1">
        <v>0.87481675120364999</v>
      </c>
      <c r="F4" s="1">
        <v>0.340460257317871</v>
      </c>
      <c r="G4" s="1">
        <v>7.1702700093782502E-3</v>
      </c>
      <c r="H4" s="1">
        <v>0.831299280235967</v>
      </c>
      <c r="I4" s="1">
        <v>5.9783600620823196E-3</v>
      </c>
      <c r="K4" s="6" t="s">
        <v>5</v>
      </c>
      <c r="L4" s="9">
        <f t="shared" si="0"/>
        <v>0.87481675120364999</v>
      </c>
      <c r="M4" s="3">
        <f t="shared" si="1"/>
        <v>-1.4361217849476166E-2</v>
      </c>
      <c r="N4" s="3">
        <f t="shared" si="2"/>
        <v>2.1513607616245229E-2</v>
      </c>
      <c r="O4" s="9">
        <f t="shared" si="3"/>
        <v>0.831299280235967</v>
      </c>
      <c r="Q4">
        <v>0</v>
      </c>
      <c r="R4">
        <v>0</v>
      </c>
      <c r="S4">
        <f t="shared" ref="S4:S48" si="4">(ABS(Q4)+ABS(R4))/2</f>
        <v>0</v>
      </c>
      <c r="U4" s="6" t="s">
        <v>5</v>
      </c>
      <c r="V4" s="14">
        <v>0</v>
      </c>
      <c r="W4" s="14">
        <v>0</v>
      </c>
      <c r="X4" s="14">
        <v>0</v>
      </c>
      <c r="Y4" s="14">
        <v>0</v>
      </c>
      <c r="Z4" s="14">
        <v>0</v>
      </c>
      <c r="AB4" s="14">
        <v>0</v>
      </c>
      <c r="AC4" s="14">
        <v>0</v>
      </c>
      <c r="AD4" s="14">
        <v>0</v>
      </c>
      <c r="AE4" s="14">
        <v>0</v>
      </c>
      <c r="AF4" s="14">
        <v>0</v>
      </c>
      <c r="AH4" s="14">
        <v>0</v>
      </c>
      <c r="AI4" s="14">
        <v>0</v>
      </c>
      <c r="AJ4" s="14">
        <v>0</v>
      </c>
      <c r="AK4" s="14">
        <v>0</v>
      </c>
      <c r="AL4" s="14">
        <v>0</v>
      </c>
      <c r="AN4" s="14"/>
    </row>
    <row r="5" spans="1:40" x14ac:dyDescent="0.2">
      <c r="A5" s="1">
        <v>0.33328998730849202</v>
      </c>
      <c r="B5" s="1">
        <v>0.114221027997386</v>
      </c>
      <c r="C5" s="1">
        <v>0.36871517229662398</v>
      </c>
      <c r="D5" s="1">
        <v>-3.5425184988131901E-2</v>
      </c>
      <c r="E5" s="1">
        <v>0.37650857684936301</v>
      </c>
      <c r="F5" s="1">
        <v>0.30844030256625898</v>
      </c>
      <c r="G5" s="1">
        <v>-2.48496847422334E-2</v>
      </c>
      <c r="H5" s="1">
        <v>0.51234238737506999</v>
      </c>
      <c r="I5" s="1">
        <v>5.2877501229492601E-3</v>
      </c>
      <c r="K5" s="6" t="s">
        <v>6</v>
      </c>
      <c r="L5" s="9">
        <f t="shared" si="0"/>
        <v>0.37650857684936301</v>
      </c>
      <c r="M5" s="3">
        <f t="shared" si="1"/>
        <v>-0.10628937663027506</v>
      </c>
      <c r="N5" s="3">
        <f t="shared" si="2"/>
        <v>-7.4558749702950483E-2</v>
      </c>
      <c r="O5" s="9">
        <f t="shared" si="3"/>
        <v>0.51234238737506999</v>
      </c>
      <c r="Q5">
        <v>0</v>
      </c>
      <c r="R5">
        <v>0</v>
      </c>
      <c r="S5">
        <f t="shared" si="4"/>
        <v>0</v>
      </c>
      <c r="U5" s="6" t="s">
        <v>6</v>
      </c>
      <c r="V5" s="14">
        <v>0</v>
      </c>
      <c r="W5" s="14">
        <v>0</v>
      </c>
      <c r="X5" s="14">
        <v>0</v>
      </c>
      <c r="Y5" s="14">
        <v>0</v>
      </c>
      <c r="Z5" s="14">
        <v>0</v>
      </c>
      <c r="AB5" s="14">
        <v>0</v>
      </c>
      <c r="AC5" s="14">
        <v>0</v>
      </c>
      <c r="AD5" s="14">
        <v>0</v>
      </c>
      <c r="AE5" s="14">
        <v>0</v>
      </c>
      <c r="AF5" s="14">
        <v>0</v>
      </c>
      <c r="AH5" s="14">
        <v>0</v>
      </c>
      <c r="AI5" s="14">
        <v>0</v>
      </c>
      <c r="AJ5" s="14">
        <v>0</v>
      </c>
      <c r="AK5" s="14">
        <v>0</v>
      </c>
      <c r="AL5" s="14">
        <v>0</v>
      </c>
      <c r="AN5" s="14"/>
    </row>
    <row r="6" spans="1:40" x14ac:dyDescent="0.2">
      <c r="A6" s="1">
        <v>0.33328998730849202</v>
      </c>
      <c r="B6" s="1">
        <v>0.114221027997386</v>
      </c>
      <c r="C6" s="1">
        <v>0.33478134513748598</v>
      </c>
      <c r="D6" s="1">
        <v>-1.4913578289936699E-3</v>
      </c>
      <c r="E6" s="1">
        <v>0.96857452006756695</v>
      </c>
      <c r="F6" s="1">
        <v>0.33218992171184702</v>
      </c>
      <c r="G6" s="1">
        <v>-1.1000655966453201E-3</v>
      </c>
      <c r="H6" s="1">
        <v>0.97317154157569896</v>
      </c>
      <c r="I6" s="1">
        <v>1.9564611617417499E-4</v>
      </c>
      <c r="K6" s="6" t="s">
        <v>7</v>
      </c>
      <c r="L6" s="9">
        <f t="shared" si="0"/>
        <v>0.96857452006756695</v>
      </c>
      <c r="M6" s="3">
        <f t="shared" si="1"/>
        <v>-4.4746553625485139E-3</v>
      </c>
      <c r="N6" s="3">
        <f t="shared" si="2"/>
        <v>-3.3006259969853317E-3</v>
      </c>
      <c r="O6" s="9">
        <f t="shared" si="3"/>
        <v>0.97317154157569896</v>
      </c>
      <c r="Q6">
        <v>0</v>
      </c>
      <c r="R6">
        <v>0</v>
      </c>
      <c r="S6">
        <f t="shared" si="4"/>
        <v>0</v>
      </c>
      <c r="U6" s="6" t="s">
        <v>7</v>
      </c>
      <c r="V6" s="14">
        <v>0</v>
      </c>
      <c r="W6" s="14">
        <v>0</v>
      </c>
      <c r="X6" s="14">
        <v>0</v>
      </c>
      <c r="Y6" s="14">
        <v>0.17766016435571394</v>
      </c>
      <c r="Z6" s="14">
        <v>0.17898838326002942</v>
      </c>
      <c r="AB6" s="14">
        <v>0</v>
      </c>
      <c r="AC6" s="14">
        <v>0</v>
      </c>
      <c r="AD6" s="14">
        <v>0</v>
      </c>
      <c r="AE6" s="14">
        <v>0</v>
      </c>
      <c r="AF6" s="14">
        <v>0</v>
      </c>
      <c r="AH6" s="14">
        <v>0</v>
      </c>
      <c r="AI6" s="14">
        <v>0</v>
      </c>
      <c r="AJ6" s="14">
        <v>0</v>
      </c>
      <c r="AK6" s="14">
        <v>0</v>
      </c>
      <c r="AL6" s="14">
        <v>0</v>
      </c>
      <c r="AN6" s="14"/>
    </row>
    <row r="7" spans="1:40" x14ac:dyDescent="0.2">
      <c r="A7" s="1">
        <v>0.33328998730849202</v>
      </c>
      <c r="B7" s="1">
        <v>0.114221027997386</v>
      </c>
      <c r="C7" s="1">
        <v>1.01428839745376</v>
      </c>
      <c r="D7" s="1">
        <v>-0.68099841014526896</v>
      </c>
      <c r="E7" s="1">
        <v>6.9154049025880595E-13</v>
      </c>
      <c r="F7" s="1">
        <v>0.127164494436841</v>
      </c>
      <c r="G7" s="1">
        <v>-0.20612549287165099</v>
      </c>
      <c r="H7" s="1">
        <v>1.18900316847817E-7</v>
      </c>
      <c r="I7" s="1">
        <v>0.23743645863680901</v>
      </c>
      <c r="K7" s="6" t="s">
        <v>8</v>
      </c>
      <c r="L7" s="5">
        <f t="shared" si="0"/>
        <v>6.9154049025880595E-13</v>
      </c>
      <c r="M7" s="3">
        <f t="shared" si="1"/>
        <v>-2.0432609321531743</v>
      </c>
      <c r="N7" s="3">
        <f t="shared" si="2"/>
        <v>-0.61845690155960786</v>
      </c>
      <c r="O7" s="5">
        <f t="shared" si="3"/>
        <v>1.18900316847817E-7</v>
      </c>
      <c r="Q7">
        <v>-2.0432609321531743</v>
      </c>
      <c r="R7">
        <v>-0.61845690155960786</v>
      </c>
      <c r="S7">
        <f t="shared" si="4"/>
        <v>1.3308589168563911</v>
      </c>
      <c r="U7" s="6" t="s">
        <v>8</v>
      </c>
      <c r="V7" s="14">
        <v>0</v>
      </c>
      <c r="W7" s="14">
        <v>0</v>
      </c>
      <c r="X7" s="14">
        <v>0</v>
      </c>
      <c r="Y7" s="14">
        <v>0</v>
      </c>
      <c r="Z7" s="14">
        <v>0</v>
      </c>
      <c r="AB7" s="14">
        <v>2.6771842575316551</v>
      </c>
      <c r="AC7" s="14">
        <v>9.0760179412630093E-2</v>
      </c>
      <c r="AD7" s="14">
        <v>1.0296495956873315</v>
      </c>
      <c r="AE7" s="14">
        <v>0.68426955835072567</v>
      </c>
      <c r="AF7" s="14">
        <v>0.77939413042511396</v>
      </c>
      <c r="AH7" s="14">
        <v>1.3308589168563911</v>
      </c>
      <c r="AI7" s="14">
        <v>3.5761445847752496E-2</v>
      </c>
      <c r="AJ7" s="14">
        <v>0.68331018135207178</v>
      </c>
      <c r="AK7" s="14">
        <v>0.95976848678795712</v>
      </c>
      <c r="AL7" s="14">
        <v>1.1260395594389438</v>
      </c>
      <c r="AN7" s="17" t="s">
        <v>35</v>
      </c>
    </row>
    <row r="8" spans="1:40" x14ac:dyDescent="0.2">
      <c r="A8" s="1">
        <v>0.33328998730849202</v>
      </c>
      <c r="B8" s="1">
        <v>0.114221027997386</v>
      </c>
      <c r="C8" s="1">
        <v>0.328599181640502</v>
      </c>
      <c r="D8" s="1">
        <v>4.6908056679900697E-3</v>
      </c>
      <c r="E8" s="1">
        <v>0.89834706768244399</v>
      </c>
      <c r="F8" s="1">
        <v>0.32507026107656301</v>
      </c>
      <c r="G8" s="1">
        <v>-8.2197262319292294E-3</v>
      </c>
      <c r="H8" s="1">
        <v>0.82302917889759797</v>
      </c>
      <c r="I8" s="1">
        <v>-6.45526594995965E-3</v>
      </c>
      <c r="K8" s="6" t="s">
        <v>9</v>
      </c>
      <c r="L8" s="9">
        <f t="shared" si="0"/>
        <v>0.89834706768244399</v>
      </c>
      <c r="M8" s="3">
        <f t="shared" si="1"/>
        <v>1.4074247191975427E-2</v>
      </c>
      <c r="N8" s="3">
        <f t="shared" si="2"/>
        <v>-2.4662385744943126E-2</v>
      </c>
      <c r="O8" s="9">
        <f t="shared" si="3"/>
        <v>0.82302917889759797</v>
      </c>
      <c r="Q8">
        <v>0</v>
      </c>
      <c r="R8">
        <v>0</v>
      </c>
      <c r="S8">
        <f t="shared" si="4"/>
        <v>0</v>
      </c>
      <c r="U8" s="6" t="s">
        <v>9</v>
      </c>
      <c r="V8" s="14">
        <v>0</v>
      </c>
      <c r="W8" s="14">
        <v>0</v>
      </c>
      <c r="X8" s="14">
        <v>0</v>
      </c>
      <c r="Y8" s="14">
        <v>0</v>
      </c>
      <c r="Z8" s="14">
        <v>0</v>
      </c>
      <c r="AB8" s="14">
        <v>0</v>
      </c>
      <c r="AC8" s="14">
        <v>0</v>
      </c>
      <c r="AD8" s="14">
        <v>0</v>
      </c>
      <c r="AE8" s="14">
        <v>5.5919158613131549E-2</v>
      </c>
      <c r="AF8" s="14">
        <v>0</v>
      </c>
      <c r="AH8" s="14">
        <v>0</v>
      </c>
      <c r="AI8" s="14">
        <v>0</v>
      </c>
      <c r="AJ8" s="14">
        <v>0</v>
      </c>
      <c r="AK8" s="14">
        <v>0</v>
      </c>
      <c r="AL8" s="14">
        <v>0</v>
      </c>
      <c r="AN8" s="14"/>
    </row>
    <row r="9" spans="1:40" x14ac:dyDescent="0.2">
      <c r="A9" s="1">
        <v>0.33328998730849202</v>
      </c>
      <c r="B9" s="1">
        <v>0.114221027997386</v>
      </c>
      <c r="C9" s="1">
        <v>1.12151237268946</v>
      </c>
      <c r="D9" s="1">
        <v>-0.788222385380969</v>
      </c>
      <c r="E9" s="1">
        <v>2.3967137552476298E-18</v>
      </c>
      <c r="F9" s="1">
        <v>0.12015596077040901</v>
      </c>
      <c r="G9" s="1">
        <v>-0.213134026538083</v>
      </c>
      <c r="H9" s="1">
        <v>8.54450329345534E-8</v>
      </c>
      <c r="I9" s="1">
        <v>0.287544179421442</v>
      </c>
      <c r="K9" s="6" t="s">
        <v>10</v>
      </c>
      <c r="L9" s="5">
        <f t="shared" si="0"/>
        <v>2.3967137552476298E-18</v>
      </c>
      <c r="M9" s="3">
        <f t="shared" si="1"/>
        <v>-2.3649746928982696</v>
      </c>
      <c r="N9" s="3">
        <f t="shared" si="2"/>
        <v>-0.63948523704316063</v>
      </c>
      <c r="O9" s="5">
        <f t="shared" si="3"/>
        <v>8.54450329345534E-8</v>
      </c>
      <c r="Q9">
        <v>-2.3649746928982696</v>
      </c>
      <c r="R9">
        <v>-0.63948523704316063</v>
      </c>
      <c r="S9">
        <f t="shared" si="4"/>
        <v>1.5022299649707151</v>
      </c>
      <c r="U9" s="6" t="s">
        <v>10</v>
      </c>
      <c r="V9" s="14">
        <v>0</v>
      </c>
      <c r="W9" s="14">
        <v>0</v>
      </c>
      <c r="X9" s="14">
        <v>0</v>
      </c>
      <c r="Y9" s="14">
        <v>0</v>
      </c>
      <c r="Z9" s="14">
        <v>0</v>
      </c>
      <c r="AB9" s="14">
        <v>2.9992438222431836</v>
      </c>
      <c r="AC9" s="14">
        <v>8.9549496956990438E-2</v>
      </c>
      <c r="AD9" s="14">
        <v>1.2708894878706201</v>
      </c>
      <c r="AE9" s="14">
        <v>0.73178629912509296</v>
      </c>
      <c r="AF9" s="14">
        <v>0.85074969128179845</v>
      </c>
      <c r="AH9" s="14">
        <v>1.5022299649707151</v>
      </c>
      <c r="AI9" s="14">
        <v>3.5822905949641853E-2</v>
      </c>
      <c r="AJ9" s="14">
        <v>0.76902643546017846</v>
      </c>
      <c r="AK9" s="14">
        <v>0.9792534244724197</v>
      </c>
      <c r="AL9" s="14">
        <v>1.1488615687729138</v>
      </c>
      <c r="AN9" s="14"/>
    </row>
    <row r="10" spans="1:40" x14ac:dyDescent="0.2">
      <c r="A10" s="1">
        <v>0.33328998730849202</v>
      </c>
      <c r="B10" s="1">
        <v>0.114221027997386</v>
      </c>
      <c r="C10" s="1">
        <v>0.13221848838598499</v>
      </c>
      <c r="D10" s="1">
        <v>0.201071498922507</v>
      </c>
      <c r="E10" s="1">
        <v>1.8440064861445801E-7</v>
      </c>
      <c r="F10" s="1">
        <v>0.74697975698463104</v>
      </c>
      <c r="G10" s="1">
        <v>0.41368976967613802</v>
      </c>
      <c r="H10" s="1">
        <v>1.6785034644503899E-10</v>
      </c>
      <c r="I10" s="1">
        <v>0.10630913537681499</v>
      </c>
      <c r="K10" s="6" t="s">
        <v>11</v>
      </c>
      <c r="L10" s="5">
        <f t="shared" si="0"/>
        <v>1.8440064861445801E-7</v>
      </c>
      <c r="M10" s="3">
        <f t="shared" si="1"/>
        <v>0.60329294782082954</v>
      </c>
      <c r="N10" s="3">
        <f t="shared" si="2"/>
        <v>1.2412307162807992</v>
      </c>
      <c r="O10" s="5">
        <f t="shared" si="3"/>
        <v>1.6785034644503899E-10</v>
      </c>
      <c r="Q10">
        <v>0.60329294782082954</v>
      </c>
      <c r="R10">
        <v>1.2412307162807992</v>
      </c>
      <c r="S10">
        <f t="shared" si="4"/>
        <v>0.92226183205081436</v>
      </c>
      <c r="U10" s="6" t="s">
        <v>11</v>
      </c>
      <c r="V10" s="14">
        <v>0</v>
      </c>
      <c r="W10" s="14">
        <v>0</v>
      </c>
      <c r="X10" s="14">
        <v>0</v>
      </c>
      <c r="Y10" s="14">
        <v>0</v>
      </c>
      <c r="Z10" s="14">
        <v>0</v>
      </c>
      <c r="AB10" s="14">
        <v>2.1699028151261164</v>
      </c>
      <c r="AC10" s="14">
        <v>0.11339374316352357</v>
      </c>
      <c r="AD10" s="14">
        <v>0.81266846361185985</v>
      </c>
      <c r="AE10" s="14">
        <v>0.45508101105420223</v>
      </c>
      <c r="AF10" s="14">
        <v>0.56946428152236528</v>
      </c>
      <c r="AH10" s="14">
        <v>0.92226183205081436</v>
      </c>
      <c r="AI10" s="14">
        <v>4.1666689735664467E-2</v>
      </c>
      <c r="AJ10" s="14">
        <v>0.4819642608932394</v>
      </c>
      <c r="AK10" s="14">
        <v>0.72363586869079599</v>
      </c>
      <c r="AL10" s="14">
        <v>0.92021644273326908</v>
      </c>
    </row>
    <row r="11" spans="1:40" x14ac:dyDescent="0.2">
      <c r="A11" s="1">
        <v>0.33328998730849202</v>
      </c>
      <c r="B11" s="1">
        <v>0.114221027997386</v>
      </c>
      <c r="C11" s="1">
        <v>0.98276857442835897</v>
      </c>
      <c r="D11" s="1">
        <v>-0.64947858711986595</v>
      </c>
      <c r="E11" s="1">
        <v>5.1564851277585896E-10</v>
      </c>
      <c r="F11" s="1">
        <v>0.12642867298357199</v>
      </c>
      <c r="G11" s="1">
        <v>-0.206861314324919</v>
      </c>
      <c r="H11" s="1">
        <v>1.17028387091622E-7</v>
      </c>
      <c r="I11" s="1">
        <v>0.221308636397473</v>
      </c>
      <c r="K11" s="6" t="s">
        <v>12</v>
      </c>
      <c r="L11" s="5">
        <f t="shared" si="0"/>
        <v>5.1564851277585896E-10</v>
      </c>
      <c r="M11" s="3">
        <f t="shared" si="1"/>
        <v>-1.9486891651464791</v>
      </c>
      <c r="N11" s="3">
        <f t="shared" si="2"/>
        <v>-0.62066465301115958</v>
      </c>
      <c r="O11" s="5">
        <f t="shared" si="3"/>
        <v>1.17028387091622E-7</v>
      </c>
      <c r="Q11">
        <v>-1.9486891651464791</v>
      </c>
      <c r="R11">
        <v>-0.62066465301115958</v>
      </c>
      <c r="S11">
        <f t="shared" si="4"/>
        <v>1.2846769090788193</v>
      </c>
      <c r="U11" s="6" t="s">
        <v>12</v>
      </c>
      <c r="V11" s="14">
        <v>0</v>
      </c>
      <c r="W11" s="14">
        <v>0</v>
      </c>
      <c r="X11" s="14">
        <v>0</v>
      </c>
      <c r="Y11" s="14">
        <v>0</v>
      </c>
      <c r="Z11" s="14">
        <v>2.4830873039075967</v>
      </c>
      <c r="AB11" s="14">
        <v>2.6082354837496569</v>
      </c>
      <c r="AC11" s="14">
        <v>9.6776511195187945E-2</v>
      </c>
      <c r="AD11" s="14">
        <v>1.0377358490566038</v>
      </c>
      <c r="AE11" s="14">
        <v>0.67639800897991043</v>
      </c>
      <c r="AF11" s="14">
        <v>0.7689819413424348</v>
      </c>
      <c r="AH11" s="14">
        <v>1.2846769090788193</v>
      </c>
      <c r="AI11" s="14">
        <v>5.5124841869173741E-2</v>
      </c>
      <c r="AJ11" s="14">
        <v>0.66990087547399646</v>
      </c>
      <c r="AK11" s="14">
        <v>0.97540870698796533</v>
      </c>
      <c r="AL11" s="14">
        <v>1.1663820654563848</v>
      </c>
      <c r="AN11" s="17" t="s">
        <v>36</v>
      </c>
    </row>
    <row r="12" spans="1:40" x14ac:dyDescent="0.2">
      <c r="A12" s="1">
        <v>0.33328998730849202</v>
      </c>
      <c r="B12" s="1">
        <v>0.114221027997386</v>
      </c>
      <c r="C12" s="1">
        <v>0.44757929296371302</v>
      </c>
      <c r="D12" s="1">
        <v>-0.11428930565522</v>
      </c>
      <c r="E12" s="1">
        <v>1.34966789753637E-3</v>
      </c>
      <c r="F12" s="1">
        <v>0.23628078854991899</v>
      </c>
      <c r="G12" s="1">
        <v>-9.7009198758573195E-2</v>
      </c>
      <c r="H12" s="1">
        <v>7.6108622145975796E-3</v>
      </c>
      <c r="I12" s="1">
        <v>8.6400534483238797E-3</v>
      </c>
      <c r="K12" s="6" t="s">
        <v>13</v>
      </c>
      <c r="L12" s="5">
        <f t="shared" si="0"/>
        <v>1.34966789753637E-3</v>
      </c>
      <c r="M12" s="3">
        <f t="shared" si="1"/>
        <v>-0.34291250864801476</v>
      </c>
      <c r="N12" s="3">
        <f t="shared" si="2"/>
        <v>-0.29106544586586042</v>
      </c>
      <c r="O12" s="9">
        <f t="shared" si="3"/>
        <v>7.6108622145975796E-3</v>
      </c>
      <c r="Q12">
        <v>-0.34291250864801476</v>
      </c>
      <c r="R12">
        <v>0</v>
      </c>
      <c r="S12">
        <f t="shared" si="4"/>
        <v>0.17145625432400738</v>
      </c>
      <c r="U12" s="6" t="s">
        <v>13</v>
      </c>
      <c r="V12" s="14">
        <v>1.9192537842900537E-2</v>
      </c>
      <c r="W12" s="14">
        <v>1.9192537842900537E-2</v>
      </c>
      <c r="X12" s="14">
        <v>0</v>
      </c>
      <c r="Y12" s="14">
        <v>0</v>
      </c>
      <c r="Z12" s="14">
        <v>0</v>
      </c>
      <c r="AB12" s="14">
        <v>0</v>
      </c>
      <c r="AC12" s="14">
        <v>0</v>
      </c>
      <c r="AD12" s="14">
        <v>0</v>
      </c>
      <c r="AE12" s="14">
        <v>0.57150130217978579</v>
      </c>
      <c r="AF12" s="14">
        <v>0.45183469731445047</v>
      </c>
      <c r="AH12" s="14">
        <v>0.17145625432400738</v>
      </c>
      <c r="AI12" s="14">
        <v>0</v>
      </c>
      <c r="AJ12" s="14">
        <v>8.5728127162003689E-2</v>
      </c>
      <c r="AK12" s="14">
        <v>0.53438903197553944</v>
      </c>
      <c r="AL12" s="14">
        <v>0.4790284123017497</v>
      </c>
    </row>
    <row r="13" spans="1:40" x14ac:dyDescent="0.2">
      <c r="A13" s="1">
        <v>0.33328998730849202</v>
      </c>
      <c r="B13" s="1">
        <v>0.114221027997386</v>
      </c>
      <c r="C13" s="1">
        <v>1.3157080984962399</v>
      </c>
      <c r="D13" s="1">
        <v>-0.98241811118775502</v>
      </c>
      <c r="E13" s="1">
        <v>1.3131374320502401E-24</v>
      </c>
      <c r="F13" s="1">
        <v>9.1914361596808006E-2</v>
      </c>
      <c r="G13" s="1">
        <v>-0.241375625711684</v>
      </c>
      <c r="H13" s="1">
        <v>9.2042253959373702E-9</v>
      </c>
      <c r="I13" s="1">
        <v>0.37052124273803499</v>
      </c>
      <c r="K13" s="6" t="s">
        <v>14</v>
      </c>
      <c r="L13" s="5">
        <f t="shared" si="0"/>
        <v>1.3131374320502401E-24</v>
      </c>
      <c r="M13" s="3">
        <f t="shared" si="1"/>
        <v>-2.947637638686194</v>
      </c>
      <c r="N13" s="3">
        <f t="shared" si="2"/>
        <v>-0.72422105344637189</v>
      </c>
      <c r="O13" s="5">
        <f t="shared" si="3"/>
        <v>9.2042253959373702E-9</v>
      </c>
      <c r="Q13">
        <v>-2.947637638686194</v>
      </c>
      <c r="R13">
        <v>-0.72422105344637189</v>
      </c>
      <c r="S13">
        <f t="shared" si="4"/>
        <v>1.8359293460662829</v>
      </c>
      <c r="U13" s="6" t="s">
        <v>14</v>
      </c>
      <c r="V13" s="14">
        <v>0</v>
      </c>
      <c r="W13" s="14">
        <v>0</v>
      </c>
      <c r="X13" s="14">
        <v>0</v>
      </c>
      <c r="Y13" s="14">
        <v>0</v>
      </c>
      <c r="Z13" s="14">
        <v>0</v>
      </c>
      <c r="AB13" s="14">
        <v>2.5839750420273568</v>
      </c>
      <c r="AC13" s="14">
        <v>5.9846899168139081E-2</v>
      </c>
      <c r="AD13" s="14">
        <v>0.98517520215633414</v>
      </c>
      <c r="AE13" s="14">
        <v>1.4763192880949054</v>
      </c>
      <c r="AF13" s="14">
        <v>1.388729891249447</v>
      </c>
      <c r="AH13" s="14">
        <v>1.8359293460662829</v>
      </c>
      <c r="AI13" s="14">
        <v>7.3573407278305372E-2</v>
      </c>
      <c r="AJ13" s="14">
        <v>0.95475137667229415</v>
      </c>
      <c r="AK13" s="14">
        <v>1.8488046683549983</v>
      </c>
      <c r="AL13" s="14">
        <v>1.9645594574649026</v>
      </c>
      <c r="AN13" s="14"/>
    </row>
    <row r="14" spans="1:40" x14ac:dyDescent="0.2">
      <c r="A14" s="1">
        <v>0.33328998730849202</v>
      </c>
      <c r="B14" s="1">
        <v>0.114221027997386</v>
      </c>
      <c r="C14" s="1">
        <v>0.27786225772796802</v>
      </c>
      <c r="D14" s="1">
        <v>5.54277295805242E-2</v>
      </c>
      <c r="E14" s="1">
        <v>7.0962851763980206E-2</v>
      </c>
      <c r="F14" s="1">
        <v>0.36018627547850302</v>
      </c>
      <c r="G14" s="1">
        <v>2.6896288170010399E-2</v>
      </c>
      <c r="H14" s="1">
        <v>0.43261379469295003</v>
      </c>
      <c r="I14" s="1">
        <v>-1.42657207052568E-2</v>
      </c>
      <c r="K14" s="6" t="s">
        <v>15</v>
      </c>
      <c r="L14" s="9">
        <f t="shared" si="0"/>
        <v>7.0962851763980206E-2</v>
      </c>
      <c r="M14" s="3">
        <f t="shared" si="1"/>
        <v>0.16630481469946018</v>
      </c>
      <c r="N14" s="3">
        <f t="shared" si="2"/>
        <v>8.0699358499225757E-2</v>
      </c>
      <c r="O14" s="9">
        <f t="shared" si="3"/>
        <v>0.43261379469295003</v>
      </c>
      <c r="Q14">
        <v>0</v>
      </c>
      <c r="R14">
        <v>0</v>
      </c>
      <c r="S14">
        <f t="shared" si="4"/>
        <v>0</v>
      </c>
      <c r="U14" s="6" t="s">
        <v>15</v>
      </c>
      <c r="V14" s="14">
        <v>0</v>
      </c>
      <c r="W14" s="14">
        <v>0</v>
      </c>
      <c r="X14" s="14">
        <v>0.2866640708759175</v>
      </c>
      <c r="Y14" s="14">
        <v>0.83835722256251521</v>
      </c>
      <c r="Z14" s="14">
        <v>0.80811939146533018</v>
      </c>
      <c r="AB14" s="14">
        <v>0</v>
      </c>
      <c r="AC14" s="14">
        <v>0.10996163918022583</v>
      </c>
      <c r="AD14" s="14">
        <v>0</v>
      </c>
      <c r="AE14" s="14">
        <v>0</v>
      </c>
      <c r="AF14" s="14">
        <v>0</v>
      </c>
      <c r="AH14" s="14">
        <v>0</v>
      </c>
      <c r="AI14" s="14">
        <v>3.820104421943455E-2</v>
      </c>
      <c r="AJ14" s="14">
        <v>1.9100522109717275E-2</v>
      </c>
      <c r="AK14" s="14">
        <v>0</v>
      </c>
      <c r="AL14" s="14">
        <v>0</v>
      </c>
    </row>
    <row r="15" spans="1:40" x14ac:dyDescent="0.2">
      <c r="A15" s="1">
        <v>0.33328998730849202</v>
      </c>
      <c r="B15" s="1">
        <v>0.114221027997386</v>
      </c>
      <c r="C15" s="1">
        <v>0.26339092615676801</v>
      </c>
      <c r="D15" s="1">
        <v>6.9899061151724604E-2</v>
      </c>
      <c r="E15" s="1">
        <v>4.7896729783271003E-2</v>
      </c>
      <c r="F15" s="1">
        <v>0.43935490633838797</v>
      </c>
      <c r="G15" s="1">
        <v>0.106064919029895</v>
      </c>
      <c r="H15" s="1">
        <v>1.1393811594022901E-2</v>
      </c>
      <c r="I15" s="1">
        <v>1.80829289390852E-2</v>
      </c>
      <c r="K15" s="6" t="s">
        <v>16</v>
      </c>
      <c r="L15" s="9">
        <f t="shared" si="0"/>
        <v>4.7896729783271003E-2</v>
      </c>
      <c r="M15" s="3">
        <f t="shared" si="1"/>
        <v>0.20972445561956315</v>
      </c>
      <c r="N15" s="3">
        <f t="shared" si="2"/>
        <v>0.31823613990456212</v>
      </c>
      <c r="O15" s="9">
        <f t="shared" si="3"/>
        <v>1.1393811594022901E-2</v>
      </c>
      <c r="Q15">
        <v>0</v>
      </c>
      <c r="R15">
        <v>0</v>
      </c>
      <c r="S15">
        <f t="shared" si="4"/>
        <v>0</v>
      </c>
      <c r="U15" s="6" t="s">
        <v>16</v>
      </c>
      <c r="V15" s="14">
        <v>0.15968219989659216</v>
      </c>
      <c r="W15" s="14">
        <v>0.15968219989659216</v>
      </c>
      <c r="X15" s="14">
        <v>0.47400912838517706</v>
      </c>
      <c r="Y15" s="14">
        <v>1.0683749468151134</v>
      </c>
      <c r="Z15" s="14">
        <v>1.0275677868816879</v>
      </c>
      <c r="AB15" s="14">
        <v>3.3904321848718308</v>
      </c>
      <c r="AC15" s="14">
        <v>1.6745997726667543</v>
      </c>
      <c r="AD15" s="14">
        <v>2.904312668463612</v>
      </c>
      <c r="AE15" s="14">
        <v>0.26762975983124676</v>
      </c>
      <c r="AF15" s="14">
        <v>0.26817262118987545</v>
      </c>
      <c r="AH15" s="14">
        <v>0</v>
      </c>
      <c r="AI15" s="14">
        <v>0.45579464907408512</v>
      </c>
      <c r="AJ15" s="14">
        <v>0.22789732453704256</v>
      </c>
      <c r="AK15" s="14">
        <v>0</v>
      </c>
      <c r="AL15" s="14">
        <v>0</v>
      </c>
      <c r="AN15" s="14"/>
    </row>
    <row r="16" spans="1:40" x14ac:dyDescent="0.2">
      <c r="A16" s="1">
        <v>0.33328998730849202</v>
      </c>
      <c r="B16" s="1">
        <v>0.114221027997386</v>
      </c>
      <c r="C16" s="1">
        <v>0.43377997919633698</v>
      </c>
      <c r="D16" s="1">
        <v>-0.10048999188784399</v>
      </c>
      <c r="E16" s="1">
        <v>1.6268596283781599E-2</v>
      </c>
      <c r="F16" s="1">
        <v>0.26046962965526099</v>
      </c>
      <c r="G16" s="1">
        <v>-7.2820357653231194E-2</v>
      </c>
      <c r="H16" s="1">
        <v>4.5563364451852197E-2</v>
      </c>
      <c r="I16" s="1">
        <v>1.3834817117306599E-2</v>
      </c>
      <c r="K16" s="6" t="s">
        <v>17</v>
      </c>
      <c r="L16" s="9">
        <f t="shared" si="0"/>
        <v>1.6268596283781599E-2</v>
      </c>
      <c r="M16" s="3">
        <f t="shared" si="1"/>
        <v>-0.30150918333718446</v>
      </c>
      <c r="N16" s="3">
        <f t="shared" si="2"/>
        <v>-0.21848948491161521</v>
      </c>
      <c r="O16" s="9">
        <f t="shared" si="3"/>
        <v>4.5563364451852197E-2</v>
      </c>
      <c r="Q16">
        <v>0</v>
      </c>
      <c r="R16">
        <v>0</v>
      </c>
      <c r="S16">
        <f t="shared" si="4"/>
        <v>0</v>
      </c>
      <c r="U16" s="6" t="s">
        <v>17</v>
      </c>
      <c r="V16" s="14">
        <v>0</v>
      </c>
      <c r="W16" s="14">
        <v>0</v>
      </c>
      <c r="X16" s="14">
        <v>0</v>
      </c>
      <c r="Y16" s="14">
        <v>0</v>
      </c>
      <c r="Z16" s="14">
        <v>0</v>
      </c>
      <c r="AB16" s="14">
        <v>0</v>
      </c>
      <c r="AC16" s="14">
        <v>0</v>
      </c>
      <c r="AD16" s="14">
        <v>0.14824797843665768</v>
      </c>
      <c r="AE16" s="14">
        <v>0</v>
      </c>
      <c r="AF16" s="14">
        <v>0</v>
      </c>
      <c r="AH16" s="14">
        <v>0</v>
      </c>
      <c r="AI16" s="14">
        <v>0</v>
      </c>
      <c r="AJ16" s="14">
        <v>0</v>
      </c>
      <c r="AK16" s="14">
        <v>0</v>
      </c>
      <c r="AL16" s="14">
        <v>0</v>
      </c>
      <c r="AN16" s="14"/>
    </row>
    <row r="17" spans="1:42" x14ac:dyDescent="0.2">
      <c r="A17" s="1">
        <v>0.33328998730849202</v>
      </c>
      <c r="B17" s="1">
        <v>0.114221027997386</v>
      </c>
      <c r="C17" s="1">
        <v>0.36155618448201599</v>
      </c>
      <c r="D17" s="1">
        <v>-2.8266197173523699E-2</v>
      </c>
      <c r="E17" s="1">
        <v>0.411584336374202</v>
      </c>
      <c r="F17" s="1">
        <v>0.313573630275366</v>
      </c>
      <c r="G17" s="1">
        <v>-1.97163570331267E-2</v>
      </c>
      <c r="H17" s="1">
        <v>0.56071158710951396</v>
      </c>
      <c r="I17" s="1">
        <v>4.2749200701984701E-3</v>
      </c>
      <c r="K17" s="6" t="s">
        <v>18</v>
      </c>
      <c r="L17" s="9">
        <f t="shared" si="0"/>
        <v>0.411584336374202</v>
      </c>
      <c r="M17" s="3">
        <f t="shared" si="1"/>
        <v>-8.4809620000257033E-2</v>
      </c>
      <c r="N17" s="3">
        <f t="shared" si="2"/>
        <v>-5.9156763731030751E-2</v>
      </c>
      <c r="O17" s="9">
        <f t="shared" si="3"/>
        <v>0.56071158710951396</v>
      </c>
      <c r="Q17">
        <v>0</v>
      </c>
      <c r="R17">
        <v>0</v>
      </c>
      <c r="S17">
        <f t="shared" si="4"/>
        <v>0</v>
      </c>
      <c r="U17" s="6" t="s">
        <v>18</v>
      </c>
      <c r="V17" s="14">
        <v>0</v>
      </c>
      <c r="W17" s="14">
        <v>0</v>
      </c>
      <c r="X17" s="14">
        <v>0.22744008009428654</v>
      </c>
      <c r="Y17" s="14">
        <v>0</v>
      </c>
      <c r="Z17" s="14">
        <v>0</v>
      </c>
      <c r="AB17" s="14">
        <v>0.58339308104211041</v>
      </c>
      <c r="AC17" s="14">
        <v>0</v>
      </c>
      <c r="AD17" s="14">
        <v>0.41778975741239899</v>
      </c>
      <c r="AE17" s="14">
        <v>0</v>
      </c>
      <c r="AF17" s="14">
        <v>0</v>
      </c>
      <c r="AH17" s="14">
        <v>0</v>
      </c>
      <c r="AI17" s="14">
        <v>8.4925274795218053E-2</v>
      </c>
      <c r="AJ17" s="14">
        <v>4.2462637397609027E-2</v>
      </c>
      <c r="AK17" s="14">
        <v>0</v>
      </c>
      <c r="AL17" s="14">
        <v>0</v>
      </c>
      <c r="AN17" s="17" t="s">
        <v>34</v>
      </c>
    </row>
    <row r="18" spans="1:42" x14ac:dyDescent="0.2">
      <c r="A18" s="1">
        <v>0.33328998730849202</v>
      </c>
      <c r="B18" s="1">
        <v>0.114221027997386</v>
      </c>
      <c r="C18" s="1">
        <v>0.31679306928621398</v>
      </c>
      <c r="D18" s="1">
        <v>1.6496918022278598E-2</v>
      </c>
      <c r="E18" s="1">
        <v>0.67212292876014201</v>
      </c>
      <c r="F18" s="1">
        <v>0.327254800677928</v>
      </c>
      <c r="G18" s="1">
        <v>-6.03518663056434E-3</v>
      </c>
      <c r="H18" s="1">
        <v>0.85677460402199801</v>
      </c>
      <c r="I18" s="1">
        <v>-1.1266052326421401E-2</v>
      </c>
      <c r="K18" s="6" t="s">
        <v>19</v>
      </c>
      <c r="L18" s="9">
        <f t="shared" si="0"/>
        <v>0.67212292876014201</v>
      </c>
      <c r="M18" s="3">
        <f t="shared" si="1"/>
        <v>4.9497190586193972E-2</v>
      </c>
      <c r="N18" s="3">
        <f t="shared" si="2"/>
        <v>-1.8107914610042554E-2</v>
      </c>
      <c r="O18" s="9">
        <f t="shared" si="3"/>
        <v>0.85677460402199801</v>
      </c>
      <c r="Q18">
        <v>0</v>
      </c>
      <c r="R18">
        <v>0</v>
      </c>
      <c r="S18">
        <f t="shared" si="4"/>
        <v>0</v>
      </c>
      <c r="U18" s="6" t="s">
        <v>19</v>
      </c>
      <c r="V18" s="14">
        <v>0</v>
      </c>
      <c r="W18" s="14">
        <v>0</v>
      </c>
      <c r="X18" s="14">
        <v>0</v>
      </c>
      <c r="Y18" s="14">
        <v>0</v>
      </c>
      <c r="Z18" s="14">
        <v>0</v>
      </c>
      <c r="AB18" s="14">
        <v>0.20301625082565136</v>
      </c>
      <c r="AC18" s="14">
        <v>0</v>
      </c>
      <c r="AD18" s="14">
        <v>0</v>
      </c>
      <c r="AE18" s="14">
        <v>0</v>
      </c>
      <c r="AF18" s="14">
        <v>0</v>
      </c>
      <c r="AH18" s="14">
        <v>0</v>
      </c>
      <c r="AI18" s="14">
        <v>0</v>
      </c>
      <c r="AJ18" s="14">
        <v>0</v>
      </c>
      <c r="AK18" s="14">
        <v>0</v>
      </c>
      <c r="AL18" s="14">
        <v>0</v>
      </c>
    </row>
    <row r="19" spans="1:42" x14ac:dyDescent="0.2">
      <c r="A19" s="1">
        <v>0.33328998730849202</v>
      </c>
      <c r="B19" s="1">
        <v>0.114221027997386</v>
      </c>
      <c r="C19" s="1">
        <v>0.20577721665040799</v>
      </c>
      <c r="D19" s="1">
        <v>0.127512770658084</v>
      </c>
      <c r="E19" s="1">
        <v>3.2751121312011E-4</v>
      </c>
      <c r="F19" s="1">
        <v>0.45138863689090403</v>
      </c>
      <c r="G19" s="1">
        <v>0.11809864958241099</v>
      </c>
      <c r="H19" s="1">
        <v>1.3293398638752099E-2</v>
      </c>
      <c r="I19" s="1">
        <v>-4.7070605378363899E-3</v>
      </c>
      <c r="K19" s="6" t="s">
        <v>20</v>
      </c>
      <c r="L19" s="5">
        <f t="shared" si="0"/>
        <v>3.2751121312011E-4</v>
      </c>
      <c r="M19" s="3">
        <f t="shared" si="1"/>
        <v>0.38258806298929898</v>
      </c>
      <c r="N19" s="3">
        <f t="shared" si="2"/>
        <v>0.35434202670210824</v>
      </c>
      <c r="O19" s="9">
        <f t="shared" si="3"/>
        <v>1.3293398638752099E-2</v>
      </c>
      <c r="Q19">
        <v>0.38258806298929898</v>
      </c>
      <c r="R19">
        <v>0</v>
      </c>
      <c r="S19">
        <f t="shared" si="4"/>
        <v>0.19129403149464949</v>
      </c>
      <c r="U19" s="6" t="s">
        <v>20</v>
      </c>
      <c r="V19" s="14">
        <v>2.0154285572009933E-2</v>
      </c>
      <c r="W19" s="14">
        <v>2.0154285572009933E-2</v>
      </c>
      <c r="X19" s="14">
        <v>0</v>
      </c>
      <c r="Y19" s="14">
        <v>0</v>
      </c>
      <c r="Z19" s="14">
        <v>0</v>
      </c>
      <c r="AB19" s="14">
        <v>0</v>
      </c>
      <c r="AC19" s="14">
        <v>0</v>
      </c>
      <c r="AD19" s="14">
        <v>0</v>
      </c>
      <c r="AE19" s="14">
        <v>0.27577040634759797</v>
      </c>
      <c r="AF19" s="14">
        <v>0.27219848279963621</v>
      </c>
      <c r="AH19" s="14">
        <v>0.19129403149464949</v>
      </c>
      <c r="AI19" s="14">
        <v>0</v>
      </c>
      <c r="AJ19" s="14">
        <v>9.5647015747324746E-2</v>
      </c>
      <c r="AK19" s="14">
        <v>0.4002553178191669</v>
      </c>
      <c r="AL19" s="14">
        <v>0.26398589550150148</v>
      </c>
      <c r="AN19" s="14"/>
    </row>
    <row r="20" spans="1:42" x14ac:dyDescent="0.2">
      <c r="A20" s="1">
        <v>0.33328998730849202</v>
      </c>
      <c r="B20" s="1">
        <v>0.114221027997386</v>
      </c>
      <c r="C20" s="1">
        <v>0.123113040180724</v>
      </c>
      <c r="D20" s="1">
        <v>0.21017694712776799</v>
      </c>
      <c r="E20" s="1">
        <v>8.5125224913111703E-8</v>
      </c>
      <c r="F20" s="1">
        <v>0.66397833474458101</v>
      </c>
      <c r="G20" s="1">
        <v>0.33068834743608799</v>
      </c>
      <c r="H20" s="1">
        <v>4.6590543656038598E-8</v>
      </c>
      <c r="I20" s="1">
        <v>6.0255700154160298E-2</v>
      </c>
      <c r="K20" s="6" t="s">
        <v>21</v>
      </c>
      <c r="L20" s="5">
        <f t="shared" si="0"/>
        <v>8.5125224913111703E-8</v>
      </c>
      <c r="M20" s="3">
        <f t="shared" si="1"/>
        <v>0.63061284506344606</v>
      </c>
      <c r="N20" s="3">
        <f t="shared" si="2"/>
        <v>0.9921940653140715</v>
      </c>
      <c r="O20" s="5">
        <f t="shared" si="3"/>
        <v>4.6590543656038598E-8</v>
      </c>
      <c r="Q20">
        <v>0.63061284506344606</v>
      </c>
      <c r="R20">
        <v>0.9921940653140715</v>
      </c>
      <c r="S20">
        <f t="shared" si="4"/>
        <v>0.81140345518875878</v>
      </c>
      <c r="U20" s="6" t="s">
        <v>21</v>
      </c>
      <c r="V20" s="14">
        <v>0</v>
      </c>
      <c r="W20" s="14">
        <v>0</v>
      </c>
      <c r="X20" s="14">
        <v>0</v>
      </c>
      <c r="Y20" s="14">
        <v>0</v>
      </c>
      <c r="Z20" s="14">
        <v>0</v>
      </c>
      <c r="AB20" s="14">
        <v>0.66963221971020626</v>
      </c>
      <c r="AC20" s="14">
        <v>0</v>
      </c>
      <c r="AD20" s="14">
        <v>0.16846361185983827</v>
      </c>
      <c r="AE20" s="14">
        <v>1.2487002100567661</v>
      </c>
      <c r="AF20" s="14">
        <v>1.0799959774612145</v>
      </c>
      <c r="AH20" s="14">
        <v>0.81140345518875878</v>
      </c>
      <c r="AI20" s="14">
        <v>0</v>
      </c>
      <c r="AJ20" s="14">
        <v>0.40570172759437939</v>
      </c>
      <c r="AK20" s="14">
        <v>1.372980123976526</v>
      </c>
      <c r="AL20" s="14">
        <v>1.343060582188925</v>
      </c>
      <c r="AN20" s="14"/>
    </row>
    <row r="21" spans="1:42" x14ac:dyDescent="0.2">
      <c r="A21" s="1">
        <v>0.33328998730849202</v>
      </c>
      <c r="B21" s="1">
        <v>0.114221027997386</v>
      </c>
      <c r="C21" s="1">
        <v>0.17840039127353</v>
      </c>
      <c r="D21" s="1">
        <v>0.154889596034962</v>
      </c>
      <c r="E21" s="1">
        <v>1.36418587410409E-5</v>
      </c>
      <c r="F21" s="1">
        <v>0.51273494478541404</v>
      </c>
      <c r="G21" s="1">
        <v>0.17944495747692099</v>
      </c>
      <c r="H21" s="1">
        <v>2.1980013589399799E-4</v>
      </c>
      <c r="I21" s="1">
        <v>1.22776807209794E-2</v>
      </c>
      <c r="K21" s="6" t="s">
        <v>22</v>
      </c>
      <c r="L21" s="5">
        <f t="shared" si="0"/>
        <v>1.36418587410409E-5</v>
      </c>
      <c r="M21" s="3">
        <f t="shared" si="1"/>
        <v>0.46472922059790756</v>
      </c>
      <c r="N21" s="3">
        <f t="shared" si="2"/>
        <v>0.53840488556539623</v>
      </c>
      <c r="O21" s="5">
        <f t="shared" si="3"/>
        <v>2.1980013589399799E-4</v>
      </c>
      <c r="Q21">
        <v>0.46472922059790756</v>
      </c>
      <c r="R21">
        <v>0.53840488556539623</v>
      </c>
      <c r="S21">
        <f t="shared" si="4"/>
        <v>0.50156705308165184</v>
      </c>
      <c r="U21" s="6" t="s">
        <v>22</v>
      </c>
      <c r="V21" s="14">
        <v>0</v>
      </c>
      <c r="W21" s="14">
        <v>0</v>
      </c>
      <c r="X21" s="14">
        <v>0</v>
      </c>
      <c r="Y21" s="14">
        <v>0</v>
      </c>
      <c r="Z21" s="14">
        <v>0</v>
      </c>
      <c r="AB21" s="14">
        <v>0.22311297402492877</v>
      </c>
      <c r="AC21" s="14">
        <v>0</v>
      </c>
      <c r="AD21" s="14">
        <v>0</v>
      </c>
      <c r="AE21" s="14">
        <v>0.77909413048437526</v>
      </c>
      <c r="AF21" s="14">
        <v>0.63372173880273341</v>
      </c>
      <c r="AH21" s="14">
        <v>0.50156705308165184</v>
      </c>
      <c r="AI21" s="14">
        <v>0</v>
      </c>
      <c r="AJ21" s="14">
        <v>0.25078352654082592</v>
      </c>
      <c r="AK21" s="14">
        <v>0.84640945486731933</v>
      </c>
      <c r="AL21" s="14">
        <v>0.77894032655880063</v>
      </c>
      <c r="AN21" s="14"/>
    </row>
    <row r="22" spans="1:42" x14ac:dyDescent="0.2">
      <c r="A22" s="1">
        <v>0.33328998730849202</v>
      </c>
      <c r="B22" s="1">
        <v>0.114221027997386</v>
      </c>
      <c r="C22" s="1">
        <v>0.17416185207551399</v>
      </c>
      <c r="D22" s="1">
        <v>0.159128135232978</v>
      </c>
      <c r="E22" s="1">
        <v>1.44540964088034E-5</v>
      </c>
      <c r="F22" s="1">
        <v>0.64264759364351298</v>
      </c>
      <c r="G22" s="1">
        <v>0.30935760633502002</v>
      </c>
      <c r="H22" s="1">
        <v>2.1964811696180199E-10</v>
      </c>
      <c r="I22" s="1">
        <v>7.51147355510208E-2</v>
      </c>
      <c r="K22" s="6" t="s">
        <v>23</v>
      </c>
      <c r="L22" s="5">
        <f t="shared" si="0"/>
        <v>1.44540964088034E-5</v>
      </c>
      <c r="M22" s="3">
        <f t="shared" si="1"/>
        <v>0.47744649192143168</v>
      </c>
      <c r="N22" s="3">
        <f t="shared" si="2"/>
        <v>0.92819351950312179</v>
      </c>
      <c r="O22" s="5">
        <f t="shared" si="3"/>
        <v>2.1964811696180199E-10</v>
      </c>
      <c r="Q22">
        <v>0.47744649192143168</v>
      </c>
      <c r="R22">
        <v>0.92819351950312179</v>
      </c>
      <c r="S22">
        <f t="shared" si="4"/>
        <v>0.70282000571227676</v>
      </c>
      <c r="U22" s="6" t="s">
        <v>23</v>
      </c>
      <c r="V22" s="14">
        <v>0.1288014168066359</v>
      </c>
      <c r="W22" s="14">
        <v>0.1288014168066359</v>
      </c>
      <c r="X22" s="14">
        <v>0.24184874054349426</v>
      </c>
      <c r="Y22" s="14">
        <v>8.2963192350706982E-2</v>
      </c>
      <c r="Z22" s="14">
        <v>0.30870065713368011</v>
      </c>
      <c r="AB22" s="14">
        <v>3.1184567639896974</v>
      </c>
      <c r="AC22" s="14">
        <v>0.76630285755171634</v>
      </c>
      <c r="AD22" s="14">
        <v>1.2870619946091644</v>
      </c>
      <c r="AE22" s="14">
        <v>0.31566511972646755</v>
      </c>
      <c r="AF22" s="14">
        <v>0.40784099165000059</v>
      </c>
      <c r="AH22" s="14">
        <v>0.70282000571227676</v>
      </c>
      <c r="AI22" s="14">
        <v>0.4080350865238711</v>
      </c>
      <c r="AJ22" s="14">
        <v>0.55542754611807399</v>
      </c>
      <c r="AK22" s="14">
        <v>0.24993776469798407</v>
      </c>
      <c r="AL22" s="14">
        <v>0.35887504584529062</v>
      </c>
      <c r="AN22" s="14"/>
    </row>
    <row r="23" spans="1:42" x14ac:dyDescent="0.2">
      <c r="A23" s="1">
        <v>0.33328998730849202</v>
      </c>
      <c r="B23" s="1">
        <v>0.114221027997386</v>
      </c>
      <c r="C23" s="1">
        <v>0.60290015190115798</v>
      </c>
      <c r="D23" s="1">
        <v>-0.26961016459266501</v>
      </c>
      <c r="E23" s="1">
        <v>4.9800576022140401E-7</v>
      </c>
      <c r="F23" s="1">
        <v>0.23362664207971501</v>
      </c>
      <c r="G23" s="1">
        <v>-9.9663345228777303E-2</v>
      </c>
      <c r="H23" s="1">
        <v>2.4107760047255302E-3</v>
      </c>
      <c r="I23" s="1">
        <v>8.4973409681944306E-2</v>
      </c>
      <c r="K23" s="6" t="s">
        <v>24</v>
      </c>
      <c r="L23" s="5">
        <f t="shared" si="0"/>
        <v>4.9800576022140401E-7</v>
      </c>
      <c r="M23" s="3">
        <f t="shared" si="1"/>
        <v>-0.80893568621704437</v>
      </c>
      <c r="N23" s="3">
        <f t="shared" si="2"/>
        <v>-0.29902892083142379</v>
      </c>
      <c r="O23" s="5">
        <f t="shared" si="3"/>
        <v>2.4107760047255302E-3</v>
      </c>
      <c r="Q23">
        <v>-0.80893568621704437</v>
      </c>
      <c r="R23">
        <v>-0.29902892083142379</v>
      </c>
      <c r="S23">
        <f t="shared" si="4"/>
        <v>0.55398230352423405</v>
      </c>
      <c r="U23" s="6" t="s">
        <v>24</v>
      </c>
      <c r="V23" s="14">
        <v>0</v>
      </c>
      <c r="W23" s="14">
        <v>0</v>
      </c>
      <c r="X23" s="14">
        <v>0</v>
      </c>
      <c r="Y23" s="14">
        <v>0</v>
      </c>
      <c r="Z23" s="14">
        <v>0</v>
      </c>
      <c r="AB23" s="14">
        <v>2.7044588462409811</v>
      </c>
      <c r="AC23" s="14">
        <v>2.1474175925020985E-2</v>
      </c>
      <c r="AD23" s="14">
        <v>0.87735849056603776</v>
      </c>
      <c r="AE23" s="14">
        <v>0.45906608327381365</v>
      </c>
      <c r="AF23" s="14">
        <v>0.51900717943355568</v>
      </c>
      <c r="AH23" s="14">
        <v>0.55398230352423405</v>
      </c>
      <c r="AI23" s="14">
        <v>0</v>
      </c>
      <c r="AJ23" s="14">
        <v>0.27699115176211703</v>
      </c>
      <c r="AK23" s="14">
        <v>0.41753519488148316</v>
      </c>
      <c r="AL23" s="14">
        <v>0.46560189529468304</v>
      </c>
      <c r="AN23" s="15" t="s">
        <v>32</v>
      </c>
      <c r="AP23" t="s">
        <v>39</v>
      </c>
    </row>
    <row r="24" spans="1:42" ht="77" x14ac:dyDescent="0.2">
      <c r="L24" s="11" t="s">
        <v>0</v>
      </c>
      <c r="M24" s="4" t="s">
        <v>1</v>
      </c>
      <c r="N24" s="4" t="s">
        <v>2</v>
      </c>
      <c r="O24" s="11" t="s">
        <v>0</v>
      </c>
      <c r="V24" s="4" t="s">
        <v>25</v>
      </c>
      <c r="W24" s="4" t="s">
        <v>29</v>
      </c>
      <c r="X24" s="4" t="s">
        <v>28</v>
      </c>
      <c r="Y24" s="4" t="s">
        <v>30</v>
      </c>
      <c r="Z24" s="4" t="s">
        <v>37</v>
      </c>
      <c r="AB24" s="4" t="s">
        <v>25</v>
      </c>
      <c r="AC24" s="4" t="s">
        <v>29</v>
      </c>
      <c r="AD24" s="4" t="s">
        <v>28</v>
      </c>
      <c r="AE24" s="4" t="s">
        <v>30</v>
      </c>
      <c r="AF24" s="4" t="s">
        <v>37</v>
      </c>
      <c r="AH24" s="4" t="s">
        <v>25</v>
      </c>
      <c r="AI24" s="4" t="s">
        <v>29</v>
      </c>
      <c r="AJ24" s="4" t="s">
        <v>28</v>
      </c>
      <c r="AK24" s="4" t="s">
        <v>30</v>
      </c>
      <c r="AL24" s="4" t="s">
        <v>37</v>
      </c>
      <c r="AN24" s="14"/>
    </row>
    <row r="25" spans="1:42" x14ac:dyDescent="0.2">
      <c r="AN25" s="14"/>
    </row>
    <row r="26" spans="1:42" ht="19" x14ac:dyDescent="0.25">
      <c r="L26" s="18" t="s">
        <v>41</v>
      </c>
      <c r="M26" s="19"/>
      <c r="N26" s="19"/>
      <c r="O26" s="19"/>
      <c r="V26" s="20"/>
      <c r="W26" s="20"/>
      <c r="X26" s="20"/>
      <c r="Y26" s="20"/>
      <c r="Z26" s="20"/>
      <c r="AB26" s="20"/>
      <c r="AC26" s="20"/>
      <c r="AD26" s="20"/>
      <c r="AE26" s="20"/>
      <c r="AF26" s="20"/>
      <c r="AH26" s="20"/>
      <c r="AI26" s="20"/>
      <c r="AJ26" s="20"/>
      <c r="AK26" s="20"/>
      <c r="AL26" s="20"/>
    </row>
    <row r="27" spans="1:42" x14ac:dyDescent="0.2">
      <c r="A27" s="1">
        <v>0.698990054999999</v>
      </c>
      <c r="B27" s="1">
        <v>0.24653301919678899</v>
      </c>
      <c r="C27" s="1">
        <v>0.81723749000000001</v>
      </c>
      <c r="D27" s="1">
        <v>-0.118247435</v>
      </c>
      <c r="E27" s="1">
        <v>0.50009807278437501</v>
      </c>
      <c r="F27" s="1">
        <v>0.738932005</v>
      </c>
      <c r="G27" s="1">
        <v>3.9941949999999997E-2</v>
      </c>
      <c r="H27" s="1">
        <v>5.7337574619603898E-2</v>
      </c>
      <c r="I27" s="1">
        <v>7.9094692499999994E-2</v>
      </c>
      <c r="K27" s="6" t="s">
        <v>3</v>
      </c>
      <c r="L27" s="9">
        <f>E27</f>
        <v>0.50009807278437501</v>
      </c>
      <c r="M27" s="3">
        <f>D27/A27</f>
        <v>-0.16916898052290624</v>
      </c>
      <c r="N27" s="3">
        <f>G27/A27</f>
        <v>5.7142372361792836E-2</v>
      </c>
      <c r="O27" s="9">
        <f>H27</f>
        <v>5.7337574619603898E-2</v>
      </c>
      <c r="Q27">
        <v>0</v>
      </c>
      <c r="R27">
        <v>0</v>
      </c>
      <c r="S27">
        <v>0</v>
      </c>
      <c r="U27" s="6"/>
      <c r="V27" s="14"/>
      <c r="W27" s="14"/>
      <c r="X27" s="14"/>
      <c r="Y27" s="14"/>
      <c r="Z27" s="14"/>
      <c r="AB27" s="14"/>
      <c r="AC27" s="14"/>
      <c r="AD27" s="14"/>
      <c r="AE27" s="14"/>
      <c r="AF27" s="14"/>
      <c r="AH27" s="14"/>
      <c r="AI27" s="14"/>
      <c r="AJ27" s="14"/>
      <c r="AK27" s="14"/>
      <c r="AL27" s="14"/>
      <c r="AN27" s="16"/>
    </row>
    <row r="28" spans="1:42" x14ac:dyDescent="0.2">
      <c r="A28" s="1">
        <v>0.698990054999999</v>
      </c>
      <c r="B28" s="1">
        <v>0.24653301919678899</v>
      </c>
      <c r="C28" s="1">
        <v>0.51832061500000004</v>
      </c>
      <c r="D28" s="1">
        <v>0.18066943999999899</v>
      </c>
      <c r="E28" s="1">
        <v>1.8551259589149698E-8</v>
      </c>
      <c r="F28" s="1">
        <v>1.1909266999999899</v>
      </c>
      <c r="G28" s="1">
        <v>0.49193664499999901</v>
      </c>
      <c r="H28" s="1">
        <v>6.2222871418409096E-3</v>
      </c>
      <c r="I28" s="1">
        <v>0.155633602499999</v>
      </c>
      <c r="K28" s="6" t="s">
        <v>4</v>
      </c>
      <c r="L28" s="5">
        <f t="shared" ref="L28:L64" si="5">E28</f>
        <v>1.8551259589149698E-8</v>
      </c>
      <c r="M28" s="3">
        <f t="shared" ref="M28:M64" si="6">D28/A28</f>
        <v>0.25847211803320902</v>
      </c>
      <c r="N28" s="3">
        <f t="shared" ref="N28:N64" si="7">G28/A28</f>
        <v>0.70378203735673994</v>
      </c>
      <c r="O28" s="5">
        <f t="shared" ref="O28:O64" si="8">H28</f>
        <v>6.2222871418409096E-3</v>
      </c>
      <c r="Q28">
        <v>0.25847211803320902</v>
      </c>
      <c r="R28">
        <v>0.70378203735673994</v>
      </c>
      <c r="S28">
        <f t="shared" si="4"/>
        <v>0.48112707769497448</v>
      </c>
      <c r="U28" s="6"/>
      <c r="V28" s="14"/>
      <c r="W28" s="14"/>
      <c r="X28" s="14"/>
      <c r="Y28" s="14"/>
      <c r="Z28" s="14"/>
      <c r="AB28" s="14"/>
      <c r="AC28" s="14"/>
      <c r="AD28" s="14"/>
      <c r="AE28" s="14"/>
      <c r="AF28" s="14"/>
      <c r="AH28" s="14"/>
      <c r="AI28" s="14"/>
      <c r="AJ28" s="14"/>
      <c r="AK28" s="14"/>
      <c r="AL28" s="14"/>
      <c r="AN28" s="14"/>
    </row>
    <row r="29" spans="1:42" x14ac:dyDescent="0.2">
      <c r="A29" s="1">
        <v>0.698990054999999</v>
      </c>
      <c r="B29" s="1">
        <v>0.24653301919678899</v>
      </c>
      <c r="C29" s="1">
        <v>0.82548970499999896</v>
      </c>
      <c r="D29" s="1">
        <v>-0.12649964999999899</v>
      </c>
      <c r="E29" s="1">
        <v>0.498043610120531</v>
      </c>
      <c r="F29" s="1">
        <v>0.738921519999999</v>
      </c>
      <c r="G29" s="1">
        <v>3.9931464999999902E-2</v>
      </c>
      <c r="H29" s="1">
        <v>4.1098246030681601E-2</v>
      </c>
      <c r="I29" s="1">
        <v>8.3215557499999898E-2</v>
      </c>
      <c r="K29" s="6" t="s">
        <v>5</v>
      </c>
      <c r="L29" s="9">
        <f t="shared" si="5"/>
        <v>0.498043610120531</v>
      </c>
      <c r="M29" s="3">
        <f t="shared" si="6"/>
        <v>-0.18097489241102174</v>
      </c>
      <c r="N29" s="3">
        <f>G29/A29</f>
        <v>5.7127372148377646E-2</v>
      </c>
      <c r="O29" s="9">
        <f t="shared" si="8"/>
        <v>4.1098246030681601E-2</v>
      </c>
      <c r="Q29">
        <v>0</v>
      </c>
      <c r="R29">
        <v>0</v>
      </c>
      <c r="S29">
        <f t="shared" si="4"/>
        <v>0</v>
      </c>
      <c r="U29" s="6"/>
      <c r="V29" s="14"/>
      <c r="W29" s="14"/>
      <c r="X29" s="14"/>
      <c r="Y29" s="14"/>
      <c r="Z29" s="14"/>
      <c r="AB29" s="14"/>
      <c r="AC29" s="14"/>
      <c r="AD29" s="14"/>
      <c r="AE29" s="14"/>
      <c r="AF29" s="14"/>
      <c r="AH29" s="14"/>
      <c r="AI29" s="14"/>
      <c r="AJ29" s="14"/>
      <c r="AK29" s="14"/>
      <c r="AL29" s="14"/>
      <c r="AN29" s="14"/>
    </row>
    <row r="30" spans="1:42" x14ac:dyDescent="0.2">
      <c r="A30" s="1">
        <v>0.698990054999999</v>
      </c>
      <c r="B30" s="1">
        <v>0.24653301919678899</v>
      </c>
      <c r="C30" s="1">
        <v>0.72945912499999899</v>
      </c>
      <c r="D30" s="1">
        <v>-3.04690699999999E-2</v>
      </c>
      <c r="E30" s="1">
        <v>5.4823372003286797E-2</v>
      </c>
      <c r="F30" s="1">
        <v>0.82004505500000002</v>
      </c>
      <c r="G30" s="1">
        <v>0.121055</v>
      </c>
      <c r="H30" s="1">
        <v>0.66040436200372798</v>
      </c>
      <c r="I30" s="1">
        <v>7.5762035000000005E-2</v>
      </c>
      <c r="K30" s="6" t="s">
        <v>6</v>
      </c>
      <c r="L30" s="9">
        <f t="shared" si="5"/>
        <v>5.4823372003286797E-2</v>
      </c>
      <c r="M30" s="3">
        <f t="shared" si="6"/>
        <v>-4.3590133768069049E-2</v>
      </c>
      <c r="N30" s="3">
        <f t="shared" si="7"/>
        <v>0.1731855827333626</v>
      </c>
      <c r="O30" s="9">
        <f t="shared" si="8"/>
        <v>0.66040436200372798</v>
      </c>
      <c r="Q30">
        <v>0</v>
      </c>
      <c r="R30">
        <v>0</v>
      </c>
      <c r="S30">
        <f t="shared" si="4"/>
        <v>0</v>
      </c>
      <c r="U30" s="6"/>
      <c r="V30" s="14"/>
      <c r="W30" s="14"/>
      <c r="X30" s="14"/>
      <c r="Y30" s="14"/>
      <c r="Z30" s="14"/>
      <c r="AB30" s="14"/>
      <c r="AC30" s="14"/>
      <c r="AD30" s="14"/>
      <c r="AE30" s="14"/>
      <c r="AF30" s="14"/>
      <c r="AH30" s="14"/>
      <c r="AI30" s="14"/>
      <c r="AJ30" s="14"/>
      <c r="AK30" s="14"/>
      <c r="AL30" s="14"/>
      <c r="AN30" s="14"/>
    </row>
    <row r="31" spans="1:42" x14ac:dyDescent="0.2">
      <c r="A31" s="1">
        <v>0.698990054999999</v>
      </c>
      <c r="B31" s="1">
        <v>0.24653301919678899</v>
      </c>
      <c r="C31" s="1">
        <v>0.77873130000000002</v>
      </c>
      <c r="D31" s="1">
        <v>-7.9741245000000002E-2</v>
      </c>
      <c r="E31" s="1">
        <v>0.58783286953463298</v>
      </c>
      <c r="F31" s="1">
        <v>0.73392030500000005</v>
      </c>
      <c r="G31" s="1">
        <v>3.4930250000000003E-2</v>
      </c>
      <c r="H31" s="1">
        <v>0.20082166493797601</v>
      </c>
      <c r="I31" s="1">
        <v>5.7335747499999999E-2</v>
      </c>
      <c r="K31" s="6" t="s">
        <v>7</v>
      </c>
      <c r="L31" s="9">
        <f t="shared" si="5"/>
        <v>0.58783286953463298</v>
      </c>
      <c r="M31" s="3">
        <f t="shared" si="6"/>
        <v>-0.11408065741364534</v>
      </c>
      <c r="N31" s="3">
        <f t="shared" si="7"/>
        <v>4.9972456332014699E-2</v>
      </c>
      <c r="O31" s="9">
        <f t="shared" si="8"/>
        <v>0.20082166493797601</v>
      </c>
      <c r="Q31">
        <v>0</v>
      </c>
      <c r="R31">
        <v>0</v>
      </c>
      <c r="S31">
        <f t="shared" si="4"/>
        <v>0</v>
      </c>
      <c r="U31" s="6"/>
      <c r="V31" s="14"/>
      <c r="W31" s="14"/>
      <c r="X31" s="14"/>
      <c r="Y31" s="14"/>
      <c r="Z31" s="14"/>
      <c r="AB31" s="14"/>
      <c r="AC31" s="14"/>
      <c r="AD31" s="14"/>
      <c r="AE31" s="14"/>
      <c r="AF31" s="14"/>
      <c r="AH31" s="14"/>
      <c r="AI31" s="14"/>
      <c r="AJ31" s="14"/>
      <c r="AK31" s="14"/>
      <c r="AL31" s="14"/>
      <c r="AN31" s="14"/>
    </row>
    <row r="32" spans="1:42" x14ac:dyDescent="0.2">
      <c r="A32" s="1">
        <v>0.698990054999999</v>
      </c>
      <c r="B32" s="1">
        <v>0.24653301919678899</v>
      </c>
      <c r="C32" s="1">
        <v>0.64899626499999896</v>
      </c>
      <c r="D32" s="1">
        <v>4.9993790000000003E-2</v>
      </c>
      <c r="E32" s="1">
        <v>8.9487707453042998E-6</v>
      </c>
      <c r="F32" s="1">
        <v>1.0435883800000001</v>
      </c>
      <c r="G32" s="1">
        <v>0.34459832499999998</v>
      </c>
      <c r="H32" s="1">
        <v>0.40614073190182898</v>
      </c>
      <c r="I32" s="1">
        <v>0.1473022675</v>
      </c>
      <c r="K32" s="6" t="s">
        <v>8</v>
      </c>
      <c r="L32" s="5">
        <f t="shared" si="5"/>
        <v>8.9487707453042998E-6</v>
      </c>
      <c r="M32" s="3">
        <f t="shared" si="6"/>
        <v>7.1522891695504992E-2</v>
      </c>
      <c r="N32" s="3">
        <f t="shared" si="7"/>
        <v>0.49299460347830054</v>
      </c>
      <c r="O32" s="9">
        <f t="shared" si="8"/>
        <v>0.40614073190182898</v>
      </c>
      <c r="Q32">
        <v>7.1522891695504992E-2</v>
      </c>
      <c r="R32">
        <v>0</v>
      </c>
      <c r="S32">
        <f t="shared" si="4"/>
        <v>3.5761445847752496E-2</v>
      </c>
      <c r="U32" s="6"/>
      <c r="V32" s="14"/>
      <c r="W32" s="14"/>
      <c r="X32" s="14"/>
      <c r="Y32" s="14"/>
      <c r="Z32" s="14"/>
      <c r="AB32" s="14"/>
      <c r="AC32" s="14"/>
      <c r="AD32" s="14"/>
      <c r="AE32" s="14"/>
      <c r="AF32" s="14"/>
      <c r="AH32" s="14"/>
      <c r="AI32" s="14"/>
      <c r="AJ32" s="14"/>
      <c r="AK32" s="14"/>
      <c r="AL32" s="14"/>
      <c r="AN32" s="17"/>
    </row>
    <row r="33" spans="1:40" x14ac:dyDescent="0.2">
      <c r="A33" s="1">
        <v>0.698990054999999</v>
      </c>
      <c r="B33" s="1">
        <v>0.24653301919678899</v>
      </c>
      <c r="C33" s="1">
        <v>0.73457919000000005</v>
      </c>
      <c r="D33" s="1">
        <v>-3.5589135000000001E-2</v>
      </c>
      <c r="E33" s="1">
        <v>0.454458828393833</v>
      </c>
      <c r="F33" s="1">
        <v>0.75208369875545</v>
      </c>
      <c r="G33" s="1">
        <v>5.3093643755449997E-2</v>
      </c>
      <c r="H33" s="1">
        <v>0.60721165991755499</v>
      </c>
      <c r="I33" s="1">
        <v>4.4341389377724999E-2</v>
      </c>
      <c r="K33" s="6" t="s">
        <v>9</v>
      </c>
      <c r="L33" s="9">
        <f t="shared" si="5"/>
        <v>0.454458828393833</v>
      </c>
      <c r="M33" s="3">
        <f t="shared" si="6"/>
        <v>-5.0915080615846604E-2</v>
      </c>
      <c r="N33" s="3">
        <f t="shared" si="7"/>
        <v>7.5957652581266091E-2</v>
      </c>
      <c r="O33" s="9">
        <f t="shared" si="8"/>
        <v>0.60721165991755499</v>
      </c>
      <c r="Q33">
        <v>0</v>
      </c>
      <c r="R33">
        <v>0</v>
      </c>
      <c r="S33">
        <f t="shared" si="4"/>
        <v>0</v>
      </c>
      <c r="U33" s="6"/>
      <c r="V33" s="14"/>
      <c r="W33" s="14"/>
      <c r="X33" s="14"/>
      <c r="Y33" s="14"/>
      <c r="Z33" s="14"/>
      <c r="AB33" s="14"/>
      <c r="AC33" s="14"/>
      <c r="AD33" s="14"/>
      <c r="AE33" s="14"/>
      <c r="AF33" s="14"/>
      <c r="AH33" s="14"/>
      <c r="AI33" s="14"/>
      <c r="AJ33" s="14"/>
      <c r="AK33" s="14"/>
      <c r="AL33" s="14"/>
      <c r="AN33" s="14"/>
    </row>
    <row r="34" spans="1:40" x14ac:dyDescent="0.2">
      <c r="A34" s="1">
        <v>0.698990054999999</v>
      </c>
      <c r="B34" s="1">
        <v>0.24653301919678899</v>
      </c>
      <c r="C34" s="1">
        <v>0.648910344999999</v>
      </c>
      <c r="D34" s="1">
        <v>5.0079709999999902E-2</v>
      </c>
      <c r="E34" s="1">
        <v>5.8566231297930904E-7</v>
      </c>
      <c r="F34" s="1">
        <v>1.1069880000000001</v>
      </c>
      <c r="G34" s="1">
        <v>0.40799794499999997</v>
      </c>
      <c r="H34" s="1">
        <v>0.411256514426528</v>
      </c>
      <c r="I34" s="1">
        <v>0.17895911749999999</v>
      </c>
      <c r="K34" s="6" t="s">
        <v>10</v>
      </c>
      <c r="L34" s="5">
        <f t="shared" si="5"/>
        <v>5.8566231297930904E-7</v>
      </c>
      <c r="M34" s="3">
        <f t="shared" si="6"/>
        <v>7.1645811899283707E-2</v>
      </c>
      <c r="N34" s="3">
        <f t="shared" si="7"/>
        <v>0.58369635173135692</v>
      </c>
      <c r="O34" s="9">
        <f t="shared" si="8"/>
        <v>0.411256514426528</v>
      </c>
      <c r="Q34">
        <v>7.1645811899283707E-2</v>
      </c>
      <c r="R34">
        <v>0</v>
      </c>
      <c r="S34">
        <f t="shared" si="4"/>
        <v>3.5822905949641853E-2</v>
      </c>
      <c r="U34" s="6"/>
      <c r="V34" s="14"/>
      <c r="W34" s="14"/>
      <c r="X34" s="14"/>
      <c r="Y34" s="14"/>
      <c r="Z34" s="14"/>
      <c r="AB34" s="14"/>
      <c r="AC34" s="14"/>
      <c r="AD34" s="14"/>
      <c r="AE34" s="14"/>
      <c r="AF34" s="14"/>
      <c r="AH34" s="14"/>
      <c r="AI34" s="14"/>
      <c r="AJ34" s="14"/>
      <c r="AK34" s="14"/>
      <c r="AL34" s="14"/>
      <c r="AN34" s="14"/>
    </row>
    <row r="35" spans="1:40" x14ac:dyDescent="0.2">
      <c r="A35" s="1">
        <v>0.698990054999999</v>
      </c>
      <c r="B35" s="1">
        <v>0.24653301919678899</v>
      </c>
      <c r="C35" s="1">
        <v>0.96294257999999899</v>
      </c>
      <c r="D35" s="1">
        <v>-0.26395252499999899</v>
      </c>
      <c r="E35" s="1">
        <v>0.372218318434127</v>
      </c>
      <c r="F35" s="1">
        <v>0.64074085149999904</v>
      </c>
      <c r="G35" s="1">
        <v>-5.8249203499999999E-2</v>
      </c>
      <c r="H35" s="1">
        <v>2.7652924359028902E-4</v>
      </c>
      <c r="I35" s="1">
        <v>0.102851660749999</v>
      </c>
      <c r="K35" s="6" t="s">
        <v>11</v>
      </c>
      <c r="L35" s="9">
        <f t="shared" si="5"/>
        <v>0.372218318434127</v>
      </c>
      <c r="M35" s="3">
        <f t="shared" si="6"/>
        <v>-0.37761985755290806</v>
      </c>
      <c r="N35" s="3">
        <f t="shared" si="7"/>
        <v>-8.3333379471328933E-2</v>
      </c>
      <c r="O35" s="5">
        <f t="shared" si="8"/>
        <v>2.7652924359028902E-4</v>
      </c>
      <c r="Q35">
        <v>0</v>
      </c>
      <c r="R35">
        <v>-8.3333379471328933E-2</v>
      </c>
      <c r="S35">
        <f t="shared" si="4"/>
        <v>4.1666689735664467E-2</v>
      </c>
      <c r="U35" s="6"/>
      <c r="V35" s="14"/>
      <c r="W35" s="14"/>
      <c r="X35" s="14"/>
      <c r="Y35" s="14"/>
      <c r="Z35" s="14"/>
      <c r="AB35" s="14"/>
      <c r="AC35" s="14"/>
      <c r="AD35" s="14"/>
      <c r="AE35" s="14"/>
      <c r="AF35" s="14"/>
      <c r="AH35" s="14"/>
      <c r="AI35" s="14"/>
      <c r="AJ35" s="14"/>
      <c r="AK35" s="14"/>
      <c r="AL35" s="14"/>
    </row>
    <row r="36" spans="1:40" x14ac:dyDescent="0.2">
      <c r="A36" s="1">
        <v>0.698990054999999</v>
      </c>
      <c r="B36" s="1">
        <v>0.24653301919678899</v>
      </c>
      <c r="C36" s="1">
        <v>0.62192662249999897</v>
      </c>
      <c r="D36" s="1">
        <v>7.7063432500000001E-2</v>
      </c>
      <c r="E36" s="1">
        <v>3.2627038709218798E-4</v>
      </c>
      <c r="F36" s="1">
        <v>1.00407665</v>
      </c>
      <c r="G36" s="1">
        <v>0.30508659500000002</v>
      </c>
      <c r="H36" s="1">
        <v>0.27323876024836002</v>
      </c>
      <c r="I36" s="1">
        <v>0.11401158124999899</v>
      </c>
      <c r="K36" s="6" t="s">
        <v>12</v>
      </c>
      <c r="L36" s="5">
        <f t="shared" si="5"/>
        <v>3.2627038709218798E-4</v>
      </c>
      <c r="M36" s="3">
        <f t="shared" si="6"/>
        <v>0.11024968373834748</v>
      </c>
      <c r="N36" s="3">
        <f t="shared" si="7"/>
        <v>0.43646771912942373</v>
      </c>
      <c r="O36" s="9">
        <f t="shared" si="8"/>
        <v>0.27323876024836002</v>
      </c>
      <c r="Q36">
        <v>0.11024968373834748</v>
      </c>
      <c r="R36">
        <v>0</v>
      </c>
      <c r="S36">
        <f t="shared" si="4"/>
        <v>5.5124841869173741E-2</v>
      </c>
      <c r="U36" s="6"/>
      <c r="V36" s="14"/>
      <c r="W36" s="14"/>
      <c r="X36" s="14"/>
      <c r="Y36" s="14"/>
      <c r="Z36" s="14"/>
      <c r="AB36" s="14"/>
      <c r="AC36" s="14"/>
      <c r="AD36" s="14"/>
      <c r="AE36" s="14"/>
      <c r="AF36" s="14"/>
      <c r="AH36" s="14"/>
      <c r="AI36" s="14"/>
      <c r="AJ36" s="14"/>
      <c r="AK36" s="14"/>
      <c r="AL36" s="14"/>
      <c r="AN36" s="17"/>
    </row>
    <row r="37" spans="1:40" x14ac:dyDescent="0.2">
      <c r="A37" s="1">
        <v>0.698990054999999</v>
      </c>
      <c r="B37" s="1">
        <v>0.24653301919678899</v>
      </c>
      <c r="C37" s="1">
        <v>0.71369245000000003</v>
      </c>
      <c r="D37" s="1">
        <v>-1.4702395E-2</v>
      </c>
      <c r="E37" s="1">
        <v>9.4111429586171802E-2</v>
      </c>
      <c r="F37" s="1">
        <v>0.79961949499999896</v>
      </c>
      <c r="G37" s="1">
        <v>0.100629439999999</v>
      </c>
      <c r="H37" s="1">
        <v>0.82820106737056098</v>
      </c>
      <c r="I37" s="1">
        <v>5.76659174999999E-2</v>
      </c>
      <c r="K37" s="6" t="s">
        <v>13</v>
      </c>
      <c r="L37" s="9">
        <f t="shared" si="5"/>
        <v>9.4111429586171802E-2</v>
      </c>
      <c r="M37" s="3">
        <f t="shared" si="6"/>
        <v>-2.103376849903826E-2</v>
      </c>
      <c r="N37" s="3">
        <f t="shared" si="7"/>
        <v>0.14396405110513216</v>
      </c>
      <c r="O37" s="9">
        <f t="shared" si="8"/>
        <v>0.82820106737056098</v>
      </c>
      <c r="Q37">
        <v>0</v>
      </c>
      <c r="R37">
        <v>0</v>
      </c>
      <c r="S37">
        <f t="shared" si="4"/>
        <v>0</v>
      </c>
      <c r="U37" s="6"/>
      <c r="V37" s="14"/>
      <c r="W37" s="14"/>
      <c r="X37" s="14"/>
      <c r="Y37" s="14"/>
      <c r="Z37" s="14"/>
      <c r="AB37" s="14"/>
      <c r="AC37" s="14"/>
      <c r="AD37" s="14"/>
      <c r="AE37" s="14"/>
      <c r="AF37" s="14"/>
      <c r="AH37" s="14"/>
      <c r="AI37" s="14"/>
      <c r="AJ37" s="14"/>
      <c r="AK37" s="14"/>
      <c r="AL37" s="14"/>
    </row>
    <row r="38" spans="1:40" x14ac:dyDescent="0.2">
      <c r="A38" s="1">
        <v>0.698990054999999</v>
      </c>
      <c r="B38" s="1">
        <v>0.24653301919678899</v>
      </c>
      <c r="C38" s="1">
        <v>0.59613589499999897</v>
      </c>
      <c r="D38" s="1">
        <v>0.10285416</v>
      </c>
      <c r="E38" s="1">
        <v>1.14416103395769E-7</v>
      </c>
      <c r="F38" s="1">
        <v>1.1538989500000001</v>
      </c>
      <c r="G38" s="1">
        <v>0.45490889499999998</v>
      </c>
      <c r="H38" s="1">
        <v>0.116399045424134</v>
      </c>
      <c r="I38" s="1">
        <v>0.1760273675</v>
      </c>
      <c r="K38" s="6" t="s">
        <v>14</v>
      </c>
      <c r="L38" s="5">
        <f t="shared" si="5"/>
        <v>1.14416103395769E-7</v>
      </c>
      <c r="M38" s="3">
        <f t="shared" si="6"/>
        <v>0.14714681455661074</v>
      </c>
      <c r="N38" s="3">
        <f t="shared" si="7"/>
        <v>0.65080882302395648</v>
      </c>
      <c r="O38" s="9">
        <f t="shared" si="8"/>
        <v>0.116399045424134</v>
      </c>
      <c r="Q38">
        <v>0.14714681455661074</v>
      </c>
      <c r="R38">
        <v>0</v>
      </c>
      <c r="S38">
        <f t="shared" si="4"/>
        <v>7.3573407278305372E-2</v>
      </c>
      <c r="U38" s="6"/>
      <c r="V38" s="14"/>
      <c r="W38" s="14"/>
      <c r="X38" s="14"/>
      <c r="Y38" s="14"/>
      <c r="Z38" s="14"/>
      <c r="AB38" s="14"/>
      <c r="AC38" s="14"/>
      <c r="AD38" s="14"/>
      <c r="AE38" s="14"/>
      <c r="AF38" s="14"/>
      <c r="AH38" s="14"/>
      <c r="AI38" s="14"/>
      <c r="AJ38" s="14"/>
      <c r="AK38" s="14"/>
      <c r="AL38" s="14"/>
      <c r="AN38" s="14"/>
    </row>
    <row r="39" spans="1:40" x14ac:dyDescent="0.2">
      <c r="A39" s="1">
        <v>0.698990054999999</v>
      </c>
      <c r="B39" s="1">
        <v>0.24653301919678899</v>
      </c>
      <c r="C39" s="1">
        <v>0.64558575500000004</v>
      </c>
      <c r="D39" s="1">
        <v>5.3404299999999898E-2</v>
      </c>
      <c r="E39" s="1">
        <v>4.9271453268703302E-5</v>
      </c>
      <c r="F39" s="1">
        <v>0.99823288499999896</v>
      </c>
      <c r="G39" s="1">
        <v>0.29924282999999902</v>
      </c>
      <c r="H39" s="1">
        <v>0.37973010343263802</v>
      </c>
      <c r="I39" s="1">
        <v>0.122919264999999</v>
      </c>
      <c r="K39" s="6" t="s">
        <v>15</v>
      </c>
      <c r="L39" s="5">
        <f t="shared" si="5"/>
        <v>4.9271453268703302E-5</v>
      </c>
      <c r="M39" s="3">
        <f t="shared" si="6"/>
        <v>7.6402088438869101E-2</v>
      </c>
      <c r="N39" s="3">
        <f t="shared" si="7"/>
        <v>0.4281074213566593</v>
      </c>
      <c r="O39" s="9">
        <f t="shared" si="8"/>
        <v>0.37973010343263802</v>
      </c>
      <c r="Q39">
        <v>7.6402088438869101E-2</v>
      </c>
      <c r="R39">
        <v>0</v>
      </c>
      <c r="S39">
        <f t="shared" si="4"/>
        <v>3.820104421943455E-2</v>
      </c>
      <c r="U39" s="6"/>
      <c r="V39" s="14"/>
      <c r="W39" s="14"/>
      <c r="X39" s="14"/>
      <c r="Y39" s="14"/>
      <c r="Z39" s="14"/>
      <c r="AB39" s="14"/>
      <c r="AC39" s="14"/>
      <c r="AD39" s="14"/>
      <c r="AE39" s="14"/>
      <c r="AF39" s="14"/>
      <c r="AH39" s="14"/>
      <c r="AI39" s="14"/>
      <c r="AJ39" s="14"/>
      <c r="AK39" s="14"/>
      <c r="AL39" s="14"/>
    </row>
    <row r="40" spans="1:40" x14ac:dyDescent="0.2">
      <c r="A40" s="1">
        <v>0.698990054999999</v>
      </c>
      <c r="B40" s="1">
        <v>0.24653301919678899</v>
      </c>
      <c r="C40" s="1">
        <v>1.0876870186500001</v>
      </c>
      <c r="D40" s="1">
        <v>-0.38869696365</v>
      </c>
      <c r="E40" s="1">
        <v>3.5881498294822102E-4</v>
      </c>
      <c r="F40" s="1">
        <v>0.45049516499999898</v>
      </c>
      <c r="G40" s="1">
        <v>-0.24849489</v>
      </c>
      <c r="H40" s="1">
        <v>1.11284970521092E-4</v>
      </c>
      <c r="I40" s="1">
        <v>7.0101036825000004E-2</v>
      </c>
      <c r="K40" s="6" t="s">
        <v>16</v>
      </c>
      <c r="L40" s="5">
        <f t="shared" si="5"/>
        <v>3.5881498294822102E-4</v>
      </c>
      <c r="M40" s="3">
        <f t="shared" si="6"/>
        <v>-0.55608368226354887</v>
      </c>
      <c r="N40" s="3">
        <f t="shared" si="7"/>
        <v>-0.35550561588462137</v>
      </c>
      <c r="O40" s="5">
        <f t="shared" si="8"/>
        <v>1.11284970521092E-4</v>
      </c>
      <c r="Q40">
        <v>-0.55608368226354887</v>
      </c>
      <c r="R40">
        <v>-0.35550561588462137</v>
      </c>
      <c r="S40">
        <f t="shared" si="4"/>
        <v>0.45579464907408512</v>
      </c>
      <c r="U40" s="6"/>
      <c r="V40" s="14"/>
      <c r="W40" s="14"/>
      <c r="X40" s="14"/>
      <c r="Y40" s="14"/>
      <c r="Z40" s="14"/>
      <c r="AB40" s="14"/>
      <c r="AC40" s="14"/>
      <c r="AD40" s="14"/>
      <c r="AE40" s="14"/>
      <c r="AF40" s="14"/>
      <c r="AH40" s="14"/>
      <c r="AI40" s="14"/>
      <c r="AJ40" s="14"/>
      <c r="AK40" s="14"/>
      <c r="AL40" s="14"/>
      <c r="AN40" s="14"/>
    </row>
    <row r="41" spans="1:40" x14ac:dyDescent="0.2">
      <c r="A41" s="1">
        <v>0.698990054999999</v>
      </c>
      <c r="B41" s="1">
        <v>0.24653301919678899</v>
      </c>
      <c r="C41" s="1">
        <v>0.71992267499999896</v>
      </c>
      <c r="D41" s="1">
        <v>-2.0932619999999898E-2</v>
      </c>
      <c r="E41" s="1">
        <v>0.38360712620798099</v>
      </c>
      <c r="F41" s="1">
        <v>0.76123241208350001</v>
      </c>
      <c r="G41" s="1">
        <v>6.2242357083499997E-2</v>
      </c>
      <c r="H41" s="1">
        <v>0.76040200440528505</v>
      </c>
      <c r="I41" s="1">
        <v>4.1587488541749901E-2</v>
      </c>
      <c r="K41" s="6" t="s">
        <v>17</v>
      </c>
      <c r="L41" s="9">
        <f t="shared" si="5"/>
        <v>0.38360712620798099</v>
      </c>
      <c r="M41" s="3">
        <f t="shared" si="6"/>
        <v>-2.9946949674412648E-2</v>
      </c>
      <c r="N41" s="3">
        <f t="shared" si="7"/>
        <v>8.9046126820073401E-2</v>
      </c>
      <c r="O41" s="9">
        <f t="shared" si="8"/>
        <v>0.76040200440528505</v>
      </c>
      <c r="Q41">
        <v>0</v>
      </c>
      <c r="R41">
        <v>0</v>
      </c>
      <c r="S41">
        <f t="shared" si="4"/>
        <v>0</v>
      </c>
      <c r="U41" s="6"/>
      <c r="V41" s="14"/>
      <c r="W41" s="14"/>
      <c r="X41" s="14"/>
      <c r="Y41" s="14"/>
      <c r="Z41" s="14"/>
      <c r="AB41" s="14"/>
      <c r="AC41" s="14"/>
      <c r="AD41" s="14"/>
      <c r="AE41" s="14"/>
      <c r="AF41" s="14"/>
      <c r="AH41" s="14"/>
      <c r="AI41" s="14"/>
      <c r="AJ41" s="14"/>
      <c r="AK41" s="14"/>
      <c r="AL41" s="14"/>
      <c r="AN41" s="14"/>
    </row>
    <row r="42" spans="1:40" x14ac:dyDescent="0.2">
      <c r="A42" s="1">
        <v>0.698990054999999</v>
      </c>
      <c r="B42" s="1">
        <v>0.24653301919678899</v>
      </c>
      <c r="C42" s="1">
        <v>0.93433164499999899</v>
      </c>
      <c r="D42" s="1">
        <v>-0.23534158999999899</v>
      </c>
      <c r="E42" s="1">
        <v>6.5605364748321696E-2</v>
      </c>
      <c r="F42" s="1">
        <v>0.58026621</v>
      </c>
      <c r="G42" s="1">
        <v>-0.118723844999999</v>
      </c>
      <c r="H42" s="1">
        <v>9.7592659006410099E-4</v>
      </c>
      <c r="I42" s="1">
        <v>5.83088724999999E-2</v>
      </c>
      <c r="K42" s="6" t="s">
        <v>18</v>
      </c>
      <c r="L42" s="9">
        <f t="shared" si="5"/>
        <v>6.5605364748321696E-2</v>
      </c>
      <c r="M42" s="3">
        <f t="shared" si="6"/>
        <v>-0.33668803771464151</v>
      </c>
      <c r="N42" s="3">
        <f t="shared" si="7"/>
        <v>-0.16985054959043611</v>
      </c>
      <c r="O42" s="5">
        <f t="shared" si="8"/>
        <v>9.7592659006410099E-4</v>
      </c>
      <c r="Q42">
        <v>0</v>
      </c>
      <c r="R42">
        <v>-0.16985054959043611</v>
      </c>
      <c r="S42">
        <f t="shared" si="4"/>
        <v>8.4925274795218053E-2</v>
      </c>
      <c r="U42" s="6"/>
      <c r="V42" s="14"/>
      <c r="W42" s="14"/>
      <c r="X42" s="14"/>
      <c r="Y42" s="14"/>
      <c r="Z42" s="14"/>
      <c r="AB42" s="14"/>
      <c r="AC42" s="14"/>
      <c r="AD42" s="14"/>
      <c r="AE42" s="14"/>
      <c r="AF42" s="14"/>
      <c r="AH42" s="14"/>
      <c r="AI42" s="14"/>
      <c r="AJ42" s="14"/>
      <c r="AK42" s="14"/>
      <c r="AL42" s="14"/>
      <c r="AN42" s="17"/>
    </row>
    <row r="43" spans="1:40" x14ac:dyDescent="0.2">
      <c r="A43" s="1">
        <v>0.698990054999999</v>
      </c>
      <c r="B43" s="1">
        <v>0.24653301919678899</v>
      </c>
      <c r="C43" s="1">
        <v>0.75736791507000001</v>
      </c>
      <c r="D43" s="1">
        <v>-5.8377860070000002E-2</v>
      </c>
      <c r="E43" s="1">
        <v>0.992206077206083</v>
      </c>
      <c r="F43" s="1">
        <v>0.69824375454999899</v>
      </c>
      <c r="G43" s="1">
        <v>-7.4630045000001401E-4</v>
      </c>
      <c r="H43" s="1">
        <v>0.409823829719758</v>
      </c>
      <c r="I43" s="1">
        <v>2.88157798099999E-2</v>
      </c>
      <c r="K43" s="6" t="s">
        <v>19</v>
      </c>
      <c r="L43" s="9">
        <f t="shared" si="5"/>
        <v>0.992206077206083</v>
      </c>
      <c r="M43" s="3">
        <f t="shared" si="6"/>
        <v>-8.351744013010326E-2</v>
      </c>
      <c r="N43" s="3">
        <f t="shared" si="7"/>
        <v>-1.0676839314974448E-3</v>
      </c>
      <c r="O43" s="9">
        <f t="shared" si="8"/>
        <v>0.409823829719758</v>
      </c>
      <c r="Q43">
        <v>0</v>
      </c>
      <c r="R43">
        <v>0</v>
      </c>
      <c r="S43">
        <f t="shared" si="4"/>
        <v>0</v>
      </c>
      <c r="U43" s="6"/>
      <c r="V43" s="14"/>
      <c r="W43" s="14"/>
      <c r="X43" s="14"/>
      <c r="Y43" s="14"/>
      <c r="Z43" s="14"/>
      <c r="AB43" s="14"/>
      <c r="AC43" s="14"/>
      <c r="AD43" s="14"/>
      <c r="AE43" s="14"/>
      <c r="AF43" s="14"/>
      <c r="AH43" s="14"/>
      <c r="AI43" s="14"/>
      <c r="AJ43" s="14"/>
      <c r="AK43" s="14"/>
      <c r="AL43" s="14"/>
    </row>
    <row r="44" spans="1:40" x14ac:dyDescent="0.2">
      <c r="A44" s="1">
        <v>0.698990054999999</v>
      </c>
      <c r="B44" s="1">
        <v>0.24653301919678899</v>
      </c>
      <c r="C44" s="1">
        <v>0.77517903019149903</v>
      </c>
      <c r="D44" s="1">
        <v>-7.6188975191499905E-2</v>
      </c>
      <c r="E44" s="1">
        <v>0.69734319667251898</v>
      </c>
      <c r="F44" s="1">
        <v>0.72305708499999899</v>
      </c>
      <c r="G44" s="1">
        <v>2.4067029999999899E-2</v>
      </c>
      <c r="H44" s="1">
        <v>0.32503143743783602</v>
      </c>
      <c r="I44" s="1">
        <v>5.0128002595749899E-2</v>
      </c>
      <c r="K44" s="6" t="s">
        <v>20</v>
      </c>
      <c r="L44" s="9">
        <f t="shared" si="5"/>
        <v>0.69734319667251898</v>
      </c>
      <c r="M44" s="3">
        <f t="shared" si="6"/>
        <v>-0.10899865405309667</v>
      </c>
      <c r="N44" s="3">
        <f t="shared" si="7"/>
        <v>3.4431147951024761E-2</v>
      </c>
      <c r="O44" s="9">
        <f t="shared" si="8"/>
        <v>0.32503143743783602</v>
      </c>
      <c r="Q44">
        <v>0</v>
      </c>
      <c r="R44">
        <v>0</v>
      </c>
      <c r="S44">
        <f t="shared" si="4"/>
        <v>0</v>
      </c>
      <c r="U44" s="6"/>
      <c r="V44" s="14"/>
      <c r="W44" s="14"/>
      <c r="X44" s="14"/>
      <c r="Y44" s="14"/>
      <c r="Z44" s="14"/>
      <c r="AB44" s="14"/>
      <c r="AC44" s="14"/>
      <c r="AD44" s="14"/>
      <c r="AE44" s="14"/>
      <c r="AF44" s="14"/>
      <c r="AH44" s="14"/>
      <c r="AI44" s="14"/>
      <c r="AJ44" s="14"/>
      <c r="AK44" s="14"/>
      <c r="AL44" s="14"/>
      <c r="AN44" s="14"/>
    </row>
    <row r="45" spans="1:40" x14ac:dyDescent="0.2">
      <c r="A45" s="1">
        <v>0.698990054999999</v>
      </c>
      <c r="B45" s="1">
        <v>0.24653301919678899</v>
      </c>
      <c r="C45" s="1">
        <v>0.87226121000000001</v>
      </c>
      <c r="D45" s="1">
        <v>-0.17327115500000001</v>
      </c>
      <c r="E45" s="1">
        <v>0.44365387022687203</v>
      </c>
      <c r="F45" s="1">
        <v>0.64512341845499899</v>
      </c>
      <c r="G45" s="1">
        <v>-5.3866636545000103E-2</v>
      </c>
      <c r="H45" s="1">
        <v>1.7170538842933E-2</v>
      </c>
      <c r="I45" s="1">
        <v>5.9702259227499901E-2</v>
      </c>
      <c r="K45" s="6" t="s">
        <v>21</v>
      </c>
      <c r="L45" s="9">
        <f t="shared" si="5"/>
        <v>0.44365387022687203</v>
      </c>
      <c r="M45" s="3">
        <f t="shared" si="6"/>
        <v>-0.24788786873369786</v>
      </c>
      <c r="N45" s="3">
        <f t="shared" si="7"/>
        <v>-7.7063523521804872E-2</v>
      </c>
      <c r="O45" s="9">
        <f t="shared" si="8"/>
        <v>1.7170538842933E-2</v>
      </c>
      <c r="Q45">
        <v>0</v>
      </c>
      <c r="R45">
        <v>0</v>
      </c>
      <c r="S45">
        <f t="shared" si="4"/>
        <v>0</v>
      </c>
      <c r="U45" s="6"/>
      <c r="V45" s="14"/>
      <c r="W45" s="14"/>
      <c r="X45" s="14"/>
      <c r="Y45" s="14"/>
      <c r="Z45" s="14"/>
      <c r="AB45" s="14"/>
      <c r="AC45" s="14"/>
      <c r="AD45" s="14"/>
      <c r="AE45" s="14"/>
      <c r="AF45" s="14"/>
      <c r="AH45" s="14"/>
      <c r="AI45" s="14"/>
      <c r="AJ45" s="14"/>
      <c r="AK45" s="14"/>
      <c r="AL45" s="14"/>
      <c r="AN45" s="14"/>
    </row>
    <row r="46" spans="1:40" x14ac:dyDescent="0.2">
      <c r="A46" s="1">
        <v>0.698990054999999</v>
      </c>
      <c r="B46" s="1">
        <v>0.24653301919678899</v>
      </c>
      <c r="C46" s="1">
        <v>0.78607277499999895</v>
      </c>
      <c r="D46" s="1">
        <v>-8.7082719999999905E-2</v>
      </c>
      <c r="E46" s="1">
        <v>0.93527163480239295</v>
      </c>
      <c r="F46" s="1">
        <v>0.70402950500000006</v>
      </c>
      <c r="G46" s="1">
        <v>5.0394500000000503E-3</v>
      </c>
      <c r="H46" s="1">
        <v>0.260225407455969</v>
      </c>
      <c r="I46" s="1">
        <v>4.6061085000000002E-2</v>
      </c>
      <c r="K46" s="6" t="s">
        <v>22</v>
      </c>
      <c r="L46" s="9">
        <f t="shared" si="5"/>
        <v>0.93527163480239295</v>
      </c>
      <c r="M46" s="3">
        <f t="shared" si="6"/>
        <v>-0.12458363230933239</v>
      </c>
      <c r="N46" s="3">
        <f t="shared" si="7"/>
        <v>7.2096161654260698E-3</v>
      </c>
      <c r="O46" s="9">
        <f t="shared" si="8"/>
        <v>0.260225407455969</v>
      </c>
      <c r="Q46">
        <v>0</v>
      </c>
      <c r="R46">
        <v>0</v>
      </c>
      <c r="S46">
        <f t="shared" si="4"/>
        <v>0</v>
      </c>
      <c r="U46" s="6"/>
      <c r="V46" s="14"/>
      <c r="W46" s="14"/>
      <c r="X46" s="14"/>
      <c r="Y46" s="14"/>
      <c r="Z46" s="14"/>
      <c r="AB46" s="14"/>
      <c r="AC46" s="14"/>
      <c r="AD46" s="14"/>
      <c r="AE46" s="14"/>
      <c r="AF46" s="14"/>
      <c r="AH46" s="14"/>
      <c r="AI46" s="14"/>
      <c r="AJ46" s="14"/>
      <c r="AK46" s="14"/>
      <c r="AL46" s="14"/>
      <c r="AN46" s="14"/>
    </row>
    <row r="47" spans="1:40" x14ac:dyDescent="0.2">
      <c r="A47" s="1">
        <v>0.698990054999999</v>
      </c>
      <c r="B47" s="1">
        <v>0.24653301919678899</v>
      </c>
      <c r="C47" s="1">
        <v>1.07533776</v>
      </c>
      <c r="D47" s="1">
        <v>-0.37634770499999998</v>
      </c>
      <c r="E47" s="1">
        <v>7.2324493080031397E-3</v>
      </c>
      <c r="F47" s="1">
        <v>0.504912824857499</v>
      </c>
      <c r="G47" s="1">
        <v>-0.1940772301425</v>
      </c>
      <c r="H47" s="1">
        <v>1.91657560913698E-6</v>
      </c>
      <c r="I47" s="1">
        <v>9.1135237428750002E-2</v>
      </c>
      <c r="K47" s="6" t="s">
        <v>23</v>
      </c>
      <c r="L47" s="5">
        <f t="shared" si="5"/>
        <v>7.2324493080031397E-3</v>
      </c>
      <c r="M47" s="3">
        <f t="shared" si="6"/>
        <v>-0.53841639420749776</v>
      </c>
      <c r="N47" s="3">
        <f t="shared" si="7"/>
        <v>-0.27765377884024439</v>
      </c>
      <c r="O47" s="5">
        <f t="shared" si="8"/>
        <v>1.91657560913698E-6</v>
      </c>
      <c r="Q47">
        <v>-0.53841639420749776</v>
      </c>
      <c r="R47">
        <v>-0.27765377884024439</v>
      </c>
      <c r="S47">
        <f t="shared" si="4"/>
        <v>0.4080350865238711</v>
      </c>
      <c r="U47" s="6"/>
      <c r="V47" s="14"/>
      <c r="W47" s="14"/>
      <c r="X47" s="14"/>
      <c r="Y47" s="14"/>
      <c r="Z47" s="14"/>
      <c r="AB47" s="14"/>
      <c r="AC47" s="14"/>
      <c r="AD47" s="14"/>
      <c r="AE47" s="14"/>
      <c r="AF47" s="14"/>
      <c r="AH47" s="14"/>
      <c r="AI47" s="14"/>
      <c r="AJ47" s="14"/>
      <c r="AK47" s="14"/>
      <c r="AL47" s="14"/>
      <c r="AN47" s="14"/>
    </row>
    <row r="48" spans="1:40" x14ac:dyDescent="0.2">
      <c r="A48" s="1">
        <v>0.698990054999999</v>
      </c>
      <c r="B48" s="1">
        <v>0.24653301919678899</v>
      </c>
      <c r="C48" s="1">
        <v>0.746519555</v>
      </c>
      <c r="D48" s="1">
        <v>-4.7529500000000002E-2</v>
      </c>
      <c r="E48" s="1">
        <v>1.44935102943907E-2</v>
      </c>
      <c r="F48" s="1">
        <v>0.86280748500000004</v>
      </c>
      <c r="G48" s="1">
        <v>0.16381743000000001</v>
      </c>
      <c r="H48" s="1">
        <v>0.41697163306808499</v>
      </c>
      <c r="I48" s="1">
        <v>0.10567346499999999</v>
      </c>
      <c r="K48" s="6" t="s">
        <v>24</v>
      </c>
      <c r="L48" s="9">
        <f t="shared" si="5"/>
        <v>1.44935102943907E-2</v>
      </c>
      <c r="M48" s="3">
        <f t="shared" si="6"/>
        <v>-6.7997390892778967E-2</v>
      </c>
      <c r="N48" s="3">
        <f t="shared" si="7"/>
        <v>0.23436303396333766</v>
      </c>
      <c r="O48" s="9">
        <f t="shared" si="8"/>
        <v>0.41697163306808499</v>
      </c>
      <c r="Q48">
        <v>0</v>
      </c>
      <c r="R48">
        <v>0</v>
      </c>
      <c r="S48">
        <f t="shared" si="4"/>
        <v>0</v>
      </c>
      <c r="U48" s="6"/>
      <c r="V48" s="14"/>
      <c r="W48" s="14"/>
      <c r="X48" s="14"/>
      <c r="Y48" s="14"/>
      <c r="Z48" s="14"/>
      <c r="AB48" s="14"/>
      <c r="AC48" s="14"/>
      <c r="AD48" s="14"/>
      <c r="AE48" s="14"/>
      <c r="AF48" s="14"/>
      <c r="AH48" s="14"/>
      <c r="AI48" s="14"/>
      <c r="AJ48" s="14"/>
      <c r="AK48" s="14"/>
      <c r="AL48" s="14"/>
      <c r="AN48" s="15"/>
    </row>
    <row r="49" spans="1:40" ht="51" x14ac:dyDescent="0.2">
      <c r="L49" s="11" t="s">
        <v>0</v>
      </c>
      <c r="M49" s="4" t="s">
        <v>1</v>
      </c>
      <c r="N49" s="4" t="s">
        <v>2</v>
      </c>
      <c r="O49" s="11" t="s">
        <v>0</v>
      </c>
      <c r="V49" s="4"/>
      <c r="W49" s="4"/>
      <c r="X49" s="4"/>
      <c r="Y49" s="4"/>
      <c r="Z49" s="4"/>
      <c r="AB49" s="4"/>
      <c r="AC49" s="4"/>
      <c r="AD49" s="4"/>
      <c r="AE49" s="4"/>
      <c r="AF49" s="4"/>
      <c r="AH49" s="4"/>
      <c r="AI49" s="4"/>
      <c r="AJ49" s="4"/>
      <c r="AK49" s="4"/>
      <c r="AL49" s="4"/>
      <c r="AN49" s="14"/>
    </row>
    <row r="50" spans="1:40" x14ac:dyDescent="0.2">
      <c r="L50" s="11"/>
      <c r="M50" s="4"/>
      <c r="N50" s="4"/>
      <c r="O50" s="11"/>
      <c r="AN50" s="14"/>
    </row>
    <row r="51" spans="1:40" ht="19" x14ac:dyDescent="0.25">
      <c r="L51" s="18" t="s">
        <v>42</v>
      </c>
      <c r="M51" s="19"/>
      <c r="N51" s="19"/>
      <c r="O51" s="19"/>
      <c r="AN51" s="14"/>
    </row>
    <row r="52" spans="1:40" x14ac:dyDescent="0.2">
      <c r="A52" s="1">
        <v>2.3680289999999902</v>
      </c>
      <c r="B52" s="1">
        <v>0.766892269879479</v>
      </c>
      <c r="C52" s="1">
        <v>2.4779515999999902</v>
      </c>
      <c r="D52" s="1">
        <v>-0.109922599999999</v>
      </c>
      <c r="E52" s="1">
        <v>0.56632997740207303</v>
      </c>
      <c r="F52" s="1">
        <v>2.2483097999999901</v>
      </c>
      <c r="G52" s="1">
        <v>-0.1197192</v>
      </c>
      <c r="H52" s="1">
        <v>0.53240544487073305</v>
      </c>
      <c r="I52" s="1">
        <v>-4.8983000000000203E-3</v>
      </c>
      <c r="K52" s="6" t="s">
        <v>3</v>
      </c>
      <c r="L52" s="9">
        <f t="shared" si="5"/>
        <v>0.56632997740207303</v>
      </c>
      <c r="M52" s="3">
        <f t="shared" si="6"/>
        <v>-4.6419448410471097E-2</v>
      </c>
      <c r="N52" s="3">
        <f t="shared" si="7"/>
        <v>-5.0556475448569463E-2</v>
      </c>
      <c r="O52" s="9">
        <f t="shared" si="8"/>
        <v>0.53240544487073305</v>
      </c>
      <c r="Q52">
        <v>0</v>
      </c>
      <c r="R52">
        <v>0</v>
      </c>
      <c r="S52">
        <f t="shared" ref="S52:S73" si="9">(ABS(Q52)+ABS(R52))/2</f>
        <v>0</v>
      </c>
      <c r="AN52" s="14"/>
    </row>
    <row r="53" spans="1:40" x14ac:dyDescent="0.2">
      <c r="A53" s="1">
        <v>2.3680289999999902</v>
      </c>
      <c r="B53" s="1">
        <v>0.766892269879479</v>
      </c>
      <c r="C53" s="1">
        <v>2.1831103000000001</v>
      </c>
      <c r="D53" s="1">
        <v>0.18491869999999899</v>
      </c>
      <c r="E53" s="1">
        <v>0.33467337591600799</v>
      </c>
      <c r="F53" s="1">
        <v>2.64303065</v>
      </c>
      <c r="G53" s="1">
        <v>0.27500164999999999</v>
      </c>
      <c r="H53" s="1">
        <v>0.18358662468557599</v>
      </c>
      <c r="I53" s="1">
        <v>4.5041475000000102E-2</v>
      </c>
      <c r="K53" s="6" t="s">
        <v>4</v>
      </c>
      <c r="L53" s="9">
        <f t="shared" si="5"/>
        <v>0.33467337591600799</v>
      </c>
      <c r="M53" s="3">
        <f t="shared" si="6"/>
        <v>7.8089710894587758E-2</v>
      </c>
      <c r="N53" s="3">
        <f t="shared" si="7"/>
        <v>0.11613103133449849</v>
      </c>
      <c r="O53" s="9">
        <f t="shared" si="8"/>
        <v>0.18358662468557599</v>
      </c>
      <c r="Q53">
        <v>0</v>
      </c>
      <c r="R53">
        <v>0</v>
      </c>
      <c r="S53">
        <f t="shared" si="9"/>
        <v>0</v>
      </c>
      <c r="AN53" s="14"/>
    </row>
    <row r="54" spans="1:40" x14ac:dyDescent="0.2">
      <c r="A54" s="1">
        <v>2.3680289999999902</v>
      </c>
      <c r="B54" s="1">
        <v>0.766892269879479</v>
      </c>
      <c r="C54" s="1">
        <v>2.3126951999999901</v>
      </c>
      <c r="D54" s="1">
        <v>5.5333800000000002E-2</v>
      </c>
      <c r="E54" s="1">
        <v>0.76778788213805504</v>
      </c>
      <c r="F54" s="1">
        <v>2.3191313999999901</v>
      </c>
      <c r="G54" s="1">
        <v>-4.8897599999999999E-2</v>
      </c>
      <c r="H54" s="1">
        <v>0.79873097537736804</v>
      </c>
      <c r="I54" s="1">
        <v>-5.2115700000000001E-2</v>
      </c>
      <c r="K54" s="6" t="s">
        <v>5</v>
      </c>
      <c r="L54" s="9">
        <f t="shared" si="5"/>
        <v>0.76778788213805504</v>
      </c>
      <c r="M54" s="3">
        <f t="shared" si="6"/>
        <v>2.3367028022038678E-2</v>
      </c>
      <c r="N54" s="3">
        <f t="shared" si="7"/>
        <v>-2.0649071442959611E-2</v>
      </c>
      <c r="O54" s="9">
        <f t="shared" si="8"/>
        <v>0.79873097537736804</v>
      </c>
      <c r="Q54">
        <v>0</v>
      </c>
      <c r="R54">
        <v>0</v>
      </c>
      <c r="S54">
        <f t="shared" si="9"/>
        <v>0</v>
      </c>
      <c r="AN54" s="14"/>
    </row>
    <row r="55" spans="1:40" x14ac:dyDescent="0.2">
      <c r="A55" s="1">
        <v>2.3680289999999902</v>
      </c>
      <c r="B55" s="1">
        <v>0.766892269879479</v>
      </c>
      <c r="C55" s="1">
        <v>2.2200397999999901</v>
      </c>
      <c r="D55" s="1">
        <v>0.14798919999999999</v>
      </c>
      <c r="E55" s="1">
        <v>0.45986022092732598</v>
      </c>
      <c r="F55" s="1">
        <v>2.5706679999999902</v>
      </c>
      <c r="G55" s="1">
        <v>0.20263900000000001</v>
      </c>
      <c r="H55" s="1">
        <v>0.36141415305545499</v>
      </c>
      <c r="I55" s="1">
        <v>2.7324899999999899E-2</v>
      </c>
      <c r="K55" s="6" t="s">
        <v>6</v>
      </c>
      <c r="L55" s="9">
        <f t="shared" si="5"/>
        <v>0.45986022092732598</v>
      </c>
      <c r="M55" s="3">
        <f t="shared" si="6"/>
        <v>6.2494673840565548E-2</v>
      </c>
      <c r="N55" s="3">
        <f t="shared" si="7"/>
        <v>8.5572854048662772E-2</v>
      </c>
      <c r="O55" s="9">
        <f t="shared" si="8"/>
        <v>0.36141415305545499</v>
      </c>
      <c r="Q55">
        <v>0</v>
      </c>
      <c r="R55">
        <v>0</v>
      </c>
      <c r="S55">
        <f t="shared" si="9"/>
        <v>0</v>
      </c>
      <c r="AN55" s="14"/>
    </row>
    <row r="56" spans="1:40" x14ac:dyDescent="0.2">
      <c r="A56" s="1">
        <v>2.3680289999999902</v>
      </c>
      <c r="B56" s="1">
        <v>0.766892269879479</v>
      </c>
      <c r="C56" s="1">
        <v>2.4942152499999901</v>
      </c>
      <c r="D56" s="1">
        <v>-0.126186249999999</v>
      </c>
      <c r="E56" s="1">
        <v>0.54738921611569502</v>
      </c>
      <c r="F56" s="1">
        <v>2.3188175499999901</v>
      </c>
      <c r="G56" s="1">
        <v>-4.9211449999999997E-2</v>
      </c>
      <c r="H56" s="1">
        <v>0.79530943697006395</v>
      </c>
      <c r="I56" s="1">
        <v>3.8487399999999901E-2</v>
      </c>
      <c r="K56" s="6" t="s">
        <v>7</v>
      </c>
      <c r="L56" s="9">
        <f t="shared" si="5"/>
        <v>0.54738921611569502</v>
      </c>
      <c r="M56" s="3">
        <f t="shared" si="6"/>
        <v>-5.328745973972427E-2</v>
      </c>
      <c r="N56" s="3">
        <f t="shared" si="7"/>
        <v>-2.0781607826593426E-2</v>
      </c>
      <c r="O56" s="9">
        <f t="shared" si="8"/>
        <v>0.79530943697006395</v>
      </c>
      <c r="Q56">
        <v>0</v>
      </c>
      <c r="R56">
        <v>0</v>
      </c>
      <c r="S56">
        <f t="shared" si="9"/>
        <v>0</v>
      </c>
      <c r="AN56" s="14"/>
    </row>
    <row r="57" spans="1:40" x14ac:dyDescent="0.2">
      <c r="A57" s="1">
        <v>2.3680289999999902</v>
      </c>
      <c r="B57" s="1">
        <v>0.766892269879479</v>
      </c>
      <c r="C57" s="1">
        <v>0.58895118000000002</v>
      </c>
      <c r="D57" s="1">
        <v>1.7790778199999899</v>
      </c>
      <c r="E57" s="1">
        <v>2.1770340592683101E-9</v>
      </c>
      <c r="F57" s="1">
        <v>5.1344703999999899</v>
      </c>
      <c r="G57" s="1">
        <v>2.7664413999999899</v>
      </c>
      <c r="H57" s="1">
        <v>3.5503427988625E-14</v>
      </c>
      <c r="I57" s="1">
        <v>0.49368178999999901</v>
      </c>
      <c r="K57" s="6" t="s">
        <v>8</v>
      </c>
      <c r="L57" s="5">
        <f t="shared" si="5"/>
        <v>2.1770340592683101E-9</v>
      </c>
      <c r="M57" s="3">
        <f t="shared" si="6"/>
        <v>0.75129055429642011</v>
      </c>
      <c r="N57" s="3">
        <f t="shared" si="7"/>
        <v>1.1682464192794941</v>
      </c>
      <c r="O57" s="5">
        <f t="shared" si="8"/>
        <v>3.5503427988625E-14</v>
      </c>
      <c r="Q57">
        <v>0.75129055429642011</v>
      </c>
      <c r="R57">
        <v>1.1682464192794941</v>
      </c>
      <c r="S57">
        <f t="shared" si="9"/>
        <v>0.95976848678795712</v>
      </c>
      <c r="AN57" s="14"/>
    </row>
    <row r="58" spans="1:40" x14ac:dyDescent="0.2">
      <c r="A58" s="1">
        <v>2.3680289999999902</v>
      </c>
      <c r="B58" s="1">
        <v>0.766892269879479</v>
      </c>
      <c r="C58" s="1">
        <v>2.36140049999999</v>
      </c>
      <c r="D58" s="1">
        <v>6.6285000000001404E-3</v>
      </c>
      <c r="E58" s="1">
        <v>0.974526091425022</v>
      </c>
      <c r="F58" s="1">
        <v>2.5215719000000001</v>
      </c>
      <c r="G58" s="1">
        <v>0.15354290000000001</v>
      </c>
      <c r="H58" s="1">
        <v>0.47096432157618001</v>
      </c>
      <c r="I58" s="1">
        <v>7.34572E-2</v>
      </c>
      <c r="K58" s="6" t="s">
        <v>9</v>
      </c>
      <c r="L58" s="9">
        <f t="shared" si="5"/>
        <v>0.974526091425022</v>
      </c>
      <c r="M58" s="3">
        <f t="shared" si="6"/>
        <v>2.7991633548407422E-3</v>
      </c>
      <c r="N58" s="3">
        <f t="shared" si="7"/>
        <v>6.4839957618762545E-2</v>
      </c>
      <c r="O58" s="9">
        <f t="shared" si="8"/>
        <v>0.47096432157618001</v>
      </c>
      <c r="Q58">
        <v>0</v>
      </c>
      <c r="R58">
        <v>0</v>
      </c>
      <c r="S58">
        <f t="shared" si="9"/>
        <v>0</v>
      </c>
      <c r="AN58" s="14"/>
    </row>
    <row r="59" spans="1:40" x14ac:dyDescent="0.2">
      <c r="A59" s="1">
        <v>2.3680289999999902</v>
      </c>
      <c r="B59" s="1">
        <v>0.766892269879479</v>
      </c>
      <c r="C59" s="1">
        <v>0.51917068499999897</v>
      </c>
      <c r="D59" s="1">
        <v>1.84885831499999</v>
      </c>
      <c r="E59" s="1">
        <v>1.9654217247502599E-9</v>
      </c>
      <c r="F59" s="1">
        <v>5.1569716999999899</v>
      </c>
      <c r="G59" s="1">
        <v>2.78894269999999</v>
      </c>
      <c r="H59" s="1">
        <v>5.8692092444709104E-14</v>
      </c>
      <c r="I59" s="1">
        <v>0.47004219249999901</v>
      </c>
      <c r="K59" s="6" t="s">
        <v>10</v>
      </c>
      <c r="L59" s="5">
        <f t="shared" si="5"/>
        <v>1.9654217247502599E-9</v>
      </c>
      <c r="M59" s="3">
        <f t="shared" si="6"/>
        <v>0.78075830785855982</v>
      </c>
      <c r="N59" s="3">
        <f t="shared" si="7"/>
        <v>1.1777485410862796</v>
      </c>
      <c r="O59" s="5">
        <f t="shared" si="8"/>
        <v>5.8692092444709104E-14</v>
      </c>
      <c r="Q59">
        <v>0.78075830785855982</v>
      </c>
      <c r="R59">
        <v>1.1777485410862796</v>
      </c>
      <c r="S59">
        <f t="shared" si="9"/>
        <v>0.9792534244724197</v>
      </c>
      <c r="AN59" s="14"/>
    </row>
    <row r="60" spans="1:40" x14ac:dyDescent="0.2">
      <c r="A60" s="1">
        <v>2.3680289999999902</v>
      </c>
      <c r="B60" s="1">
        <v>0.766892269879479</v>
      </c>
      <c r="C60" s="1">
        <v>4.5053485999999898</v>
      </c>
      <c r="D60" s="1">
        <v>-2.1373195999999899</v>
      </c>
      <c r="E60" s="1">
        <v>1.17437352447084E-11</v>
      </c>
      <c r="F60" s="1">
        <v>1.078167155</v>
      </c>
      <c r="G60" s="1">
        <v>-1.2898618449999899</v>
      </c>
      <c r="H60" s="1">
        <v>4.0487193384928502E-7</v>
      </c>
      <c r="I60" s="1">
        <v>0.42372887749999899</v>
      </c>
      <c r="K60" s="6" t="s">
        <v>11</v>
      </c>
      <c r="L60" s="5">
        <f t="shared" si="5"/>
        <v>1.17437352447084E-11</v>
      </c>
      <c r="M60" s="3">
        <f t="shared" si="6"/>
        <v>-0.90257323706761983</v>
      </c>
      <c r="N60" s="3">
        <f t="shared" si="7"/>
        <v>-0.54469850031397216</v>
      </c>
      <c r="O60" s="5">
        <f t="shared" si="8"/>
        <v>4.0487193384928502E-7</v>
      </c>
      <c r="Q60">
        <v>-0.90257323706761983</v>
      </c>
      <c r="R60">
        <v>-0.54469850031397216</v>
      </c>
      <c r="S60">
        <f t="shared" si="9"/>
        <v>0.72363586869079599</v>
      </c>
      <c r="AN60" s="14"/>
    </row>
    <row r="61" spans="1:40" x14ac:dyDescent="0.2">
      <c r="A61" s="1">
        <v>2.3680289999999902</v>
      </c>
      <c r="B61" s="1">
        <v>0.766892269879479</v>
      </c>
      <c r="C61" s="1">
        <v>0.66043903999999998</v>
      </c>
      <c r="D61" s="1">
        <v>1.70758995999999</v>
      </c>
      <c r="E61" s="1">
        <v>2.7110766631152198E-9</v>
      </c>
      <c r="F61" s="1">
        <v>5.2800312500000004</v>
      </c>
      <c r="G61" s="1">
        <v>2.91200225</v>
      </c>
      <c r="H61" s="1">
        <v>2.8279388858885498E-15</v>
      </c>
      <c r="I61" s="1">
        <v>0.60220614500000003</v>
      </c>
      <c r="K61" s="6" t="s">
        <v>12</v>
      </c>
      <c r="L61" s="5">
        <f t="shared" si="5"/>
        <v>2.7110766631152198E-9</v>
      </c>
      <c r="M61" s="3">
        <f t="shared" si="6"/>
        <v>0.72110179393917773</v>
      </c>
      <c r="N61" s="3">
        <f t="shared" si="7"/>
        <v>1.2297156200367529</v>
      </c>
      <c r="O61" s="5">
        <f t="shared" si="8"/>
        <v>2.8279388858885498E-15</v>
      </c>
      <c r="Q61">
        <v>0.72110179393917773</v>
      </c>
      <c r="R61">
        <v>1.2297156200367529</v>
      </c>
      <c r="S61">
        <f t="shared" si="9"/>
        <v>0.97540870698796533</v>
      </c>
      <c r="AN61" s="14"/>
    </row>
    <row r="62" spans="1:40" x14ac:dyDescent="0.2">
      <c r="A62" s="1">
        <v>2.3680289999999902</v>
      </c>
      <c r="B62" s="1">
        <v>0.766892269879479</v>
      </c>
      <c r="C62" s="1">
        <v>1.5731736000000001</v>
      </c>
      <c r="D62" s="1">
        <v>0.79485539999999899</v>
      </c>
      <c r="E62" s="1">
        <v>2.4038246040423199E-4</v>
      </c>
      <c r="F62" s="1">
        <v>4.1040710499999902</v>
      </c>
      <c r="G62" s="1">
        <v>1.73604205</v>
      </c>
      <c r="H62" s="1">
        <v>2.05556543880714E-7</v>
      </c>
      <c r="I62" s="1">
        <v>0.47059332500000001</v>
      </c>
      <c r="K62" s="6" t="s">
        <v>13</v>
      </c>
      <c r="L62" s="5">
        <f t="shared" si="5"/>
        <v>2.4038246040423199E-4</v>
      </c>
      <c r="M62" s="3">
        <f t="shared" si="6"/>
        <v>0.33566117644674209</v>
      </c>
      <c r="N62" s="3">
        <f t="shared" si="7"/>
        <v>0.73311688750433679</v>
      </c>
      <c r="O62" s="5">
        <f t="shared" si="8"/>
        <v>2.05556543880714E-7</v>
      </c>
      <c r="Q62">
        <v>0.33566117644674209</v>
      </c>
      <c r="R62">
        <v>0.73311688750433679</v>
      </c>
      <c r="S62">
        <f t="shared" si="9"/>
        <v>0.53438903197553944</v>
      </c>
      <c r="AN62" s="14"/>
    </row>
    <row r="63" spans="1:40" x14ac:dyDescent="0.2">
      <c r="A63" s="1">
        <v>2.3680289999999902</v>
      </c>
      <c r="B63" s="1">
        <v>0.766892269879479</v>
      </c>
      <c r="C63" s="1">
        <v>0.32020891000000001</v>
      </c>
      <c r="D63" s="1">
        <v>2.0478200900000001</v>
      </c>
      <c r="E63" s="1">
        <v>4.0217732297828898E-10</v>
      </c>
      <c r="F63" s="1">
        <v>9.0762550500000003</v>
      </c>
      <c r="G63" s="1">
        <v>6.7082260500000004</v>
      </c>
      <c r="H63" s="1">
        <v>7.6424036445079806E-24</v>
      </c>
      <c r="I63" s="1">
        <v>2.3302029800000001</v>
      </c>
      <c r="K63" s="6" t="s">
        <v>14</v>
      </c>
      <c r="L63" s="5">
        <f t="shared" si="5"/>
        <v>4.0217732297828898E-10</v>
      </c>
      <c r="M63" s="3">
        <f t="shared" si="6"/>
        <v>0.86477829874550038</v>
      </c>
      <c r="N63" s="3">
        <f t="shared" si="7"/>
        <v>2.8328310379644961</v>
      </c>
      <c r="O63" s="5">
        <f t="shared" si="8"/>
        <v>7.6424036445079806E-24</v>
      </c>
      <c r="Q63">
        <v>0.86477829874550038</v>
      </c>
      <c r="R63">
        <v>2.8328310379644961</v>
      </c>
      <c r="S63">
        <f t="shared" si="9"/>
        <v>1.8488046683549983</v>
      </c>
      <c r="AN63" s="14"/>
    </row>
    <row r="64" spans="1:40" x14ac:dyDescent="0.2">
      <c r="A64" s="1">
        <v>2.3680289999999902</v>
      </c>
      <c r="B64" s="1">
        <v>0.766892269879479</v>
      </c>
      <c r="C64" s="1">
        <v>2.7461636999999901</v>
      </c>
      <c r="D64" s="1">
        <v>-0.37813469999999899</v>
      </c>
      <c r="E64" s="1">
        <v>5.1190463487863803E-2</v>
      </c>
      <c r="F64" s="1">
        <v>2.1504216999999901</v>
      </c>
      <c r="G64" s="1">
        <v>-0.2176073</v>
      </c>
      <c r="H64" s="1">
        <v>0.26291717978110801</v>
      </c>
      <c r="I64" s="1">
        <v>8.0263699999999896E-2</v>
      </c>
      <c r="K64" s="6" t="s">
        <v>15</v>
      </c>
      <c r="L64" s="9">
        <f t="shared" si="5"/>
        <v>5.1190463487863803E-2</v>
      </c>
      <c r="M64" s="3">
        <f t="shared" si="6"/>
        <v>-0.15968330624329372</v>
      </c>
      <c r="N64" s="3">
        <f t="shared" si="7"/>
        <v>-9.1893849272961139E-2</v>
      </c>
      <c r="O64" s="9">
        <f t="shared" si="8"/>
        <v>0.26291717978110801</v>
      </c>
      <c r="Q64">
        <v>0</v>
      </c>
      <c r="R64">
        <v>0</v>
      </c>
      <c r="S64">
        <f t="shared" si="9"/>
        <v>0</v>
      </c>
      <c r="AN64" s="14"/>
    </row>
    <row r="65" spans="1:40" x14ac:dyDescent="0.2">
      <c r="A65" s="1">
        <v>2.3680289999999902</v>
      </c>
      <c r="B65" s="1">
        <v>0.766892269879479</v>
      </c>
      <c r="C65" s="1">
        <v>1.86402789999999</v>
      </c>
      <c r="D65" s="1">
        <v>0.50400109999999898</v>
      </c>
      <c r="E65" s="1">
        <v>1.27043460012025E-2</v>
      </c>
      <c r="F65" s="1">
        <v>2.6343923</v>
      </c>
      <c r="G65" s="1">
        <v>0.26636330000000003</v>
      </c>
      <c r="H65" s="1">
        <v>0.28445050119590298</v>
      </c>
      <c r="I65" s="1">
        <v>-0.11881889999999901</v>
      </c>
      <c r="K65" s="6" t="s">
        <v>16</v>
      </c>
      <c r="L65" s="9">
        <f t="shared" ref="L65:L73" si="10">E65</f>
        <v>1.27043460012025E-2</v>
      </c>
      <c r="M65" s="3">
        <f t="shared" ref="M65:M73" si="11">D65/A65</f>
        <v>0.2128356958466307</v>
      </c>
      <c r="N65" s="3">
        <f t="shared" ref="N65:N73" si="12">G65/A65</f>
        <v>0.11248312415092937</v>
      </c>
      <c r="O65" s="9">
        <f t="shared" ref="O65:O73" si="13">H65</f>
        <v>0.28445050119590298</v>
      </c>
      <c r="Q65">
        <v>0</v>
      </c>
      <c r="R65">
        <v>0</v>
      </c>
      <c r="S65">
        <f t="shared" si="9"/>
        <v>0</v>
      </c>
      <c r="AN65" s="14"/>
    </row>
    <row r="66" spans="1:40" x14ac:dyDescent="0.2">
      <c r="A66" s="1">
        <v>2.3680289999999902</v>
      </c>
      <c r="B66" s="1">
        <v>0.766892269879479</v>
      </c>
      <c r="C66" s="1">
        <v>2.3824034499999902</v>
      </c>
      <c r="D66" s="1">
        <v>-1.437445E-2</v>
      </c>
      <c r="E66" s="1">
        <v>0.94502573792196998</v>
      </c>
      <c r="F66" s="1">
        <v>2.6045882499999902</v>
      </c>
      <c r="G66" s="1">
        <v>0.236559249999999</v>
      </c>
      <c r="H66" s="1">
        <v>0.26683962245943799</v>
      </c>
      <c r="I66" s="1">
        <v>0.12546684999999999</v>
      </c>
      <c r="K66" s="6" t="s">
        <v>17</v>
      </c>
      <c r="L66" s="9">
        <f t="shared" si="10"/>
        <v>0.94502573792196998</v>
      </c>
      <c r="M66" s="3">
        <f t="shared" si="11"/>
        <v>-6.0702170454838434E-3</v>
      </c>
      <c r="N66" s="3">
        <f t="shared" si="12"/>
        <v>9.9897108523586492E-2</v>
      </c>
      <c r="O66" s="9">
        <f t="shared" si="13"/>
        <v>0.26683962245943799</v>
      </c>
      <c r="Q66">
        <v>0</v>
      </c>
      <c r="R66">
        <v>0</v>
      </c>
      <c r="S66">
        <f t="shared" si="9"/>
        <v>0</v>
      </c>
      <c r="AN66" s="14"/>
    </row>
    <row r="67" spans="1:40" x14ac:dyDescent="0.2">
      <c r="A67" s="1">
        <v>2.3680289999999902</v>
      </c>
      <c r="B67" s="1">
        <v>0.766892269879479</v>
      </c>
      <c r="C67" s="1">
        <v>2.4752936999999902</v>
      </c>
      <c r="D67" s="1">
        <v>-0.10726469999999901</v>
      </c>
      <c r="E67" s="1">
        <v>0.60421012818340103</v>
      </c>
      <c r="F67" s="1">
        <v>2.29296275</v>
      </c>
      <c r="G67" s="1">
        <v>-7.5066249999999807E-2</v>
      </c>
      <c r="H67" s="1">
        <v>0.698710539835808</v>
      </c>
      <c r="I67" s="1">
        <v>1.6099225000000002E-2</v>
      </c>
      <c r="K67" s="6" t="s">
        <v>18</v>
      </c>
      <c r="L67" s="9">
        <f t="shared" si="10"/>
        <v>0.60421012818340103</v>
      </c>
      <c r="M67" s="3">
        <f t="shared" si="11"/>
        <v>-4.5297038169718126E-2</v>
      </c>
      <c r="N67" s="3">
        <f t="shared" si="12"/>
        <v>-3.1699886276730614E-2</v>
      </c>
      <c r="O67" s="9">
        <f t="shared" si="13"/>
        <v>0.698710539835808</v>
      </c>
      <c r="Q67">
        <v>0</v>
      </c>
      <c r="R67">
        <v>0</v>
      </c>
      <c r="S67">
        <f t="shared" si="9"/>
        <v>0</v>
      </c>
      <c r="AN67" s="14"/>
    </row>
    <row r="68" spans="1:40" x14ac:dyDescent="0.2">
      <c r="A68" s="1">
        <v>2.3680289999999902</v>
      </c>
      <c r="B68" s="1">
        <v>0.766892269879479</v>
      </c>
      <c r="C68" s="1">
        <v>2.5858798499999902</v>
      </c>
      <c r="D68" s="1">
        <v>-0.21785085000000001</v>
      </c>
      <c r="E68" s="1">
        <v>0.336425785355776</v>
      </c>
      <c r="F68" s="1">
        <v>2.4362579000000002</v>
      </c>
      <c r="G68" s="1">
        <v>6.8228900000000203E-2</v>
      </c>
      <c r="H68" s="1">
        <v>0.74011177084864399</v>
      </c>
      <c r="I68" s="1">
        <v>0.14303987500000001</v>
      </c>
      <c r="K68" s="6" t="s">
        <v>19</v>
      </c>
      <c r="L68" s="9">
        <f t="shared" si="10"/>
        <v>0.336425785355776</v>
      </c>
      <c r="M68" s="3">
        <f t="shared" si="11"/>
        <v>-9.1996698520162096E-2</v>
      </c>
      <c r="N68" s="3">
        <f t="shared" si="12"/>
        <v>2.881252721144905E-2</v>
      </c>
      <c r="O68" s="9">
        <f t="shared" si="13"/>
        <v>0.74011177084864399</v>
      </c>
      <c r="Q68">
        <v>0</v>
      </c>
      <c r="R68">
        <v>0</v>
      </c>
      <c r="S68">
        <f t="shared" si="9"/>
        <v>0</v>
      </c>
      <c r="AN68" s="14"/>
    </row>
    <row r="69" spans="1:40" x14ac:dyDescent="0.2">
      <c r="A69" s="1">
        <v>2.3680289999999902</v>
      </c>
      <c r="B69" s="1">
        <v>0.766892269879479</v>
      </c>
      <c r="C69" s="1">
        <v>3.6113773500000002</v>
      </c>
      <c r="D69" s="1">
        <v>-1.24334835</v>
      </c>
      <c r="E69" s="1">
        <v>1.13716122416065E-6</v>
      </c>
      <c r="F69" s="1">
        <v>1.7157449499999899</v>
      </c>
      <c r="G69" s="1">
        <v>-0.65228405</v>
      </c>
      <c r="H69" s="1">
        <v>3.0592591705811E-3</v>
      </c>
      <c r="I69" s="1">
        <v>0.29553214999999999</v>
      </c>
      <c r="K69" s="6" t="s">
        <v>20</v>
      </c>
      <c r="L69" s="5">
        <f t="shared" si="10"/>
        <v>1.13716122416065E-6</v>
      </c>
      <c r="M69" s="3">
        <f t="shared" si="11"/>
        <v>-0.52505621763922872</v>
      </c>
      <c r="N69" s="3">
        <f t="shared" si="12"/>
        <v>-0.27545441799910503</v>
      </c>
      <c r="O69" s="5">
        <f t="shared" si="13"/>
        <v>3.0592591705811E-3</v>
      </c>
      <c r="Q69">
        <v>-0.52505621763922872</v>
      </c>
      <c r="R69">
        <v>-0.27545441799910503</v>
      </c>
      <c r="S69">
        <f t="shared" si="9"/>
        <v>0.4002553178191669</v>
      </c>
      <c r="AN69" s="14"/>
    </row>
    <row r="70" spans="1:40" x14ac:dyDescent="0.2">
      <c r="A70" s="1">
        <v>2.3680289999999902</v>
      </c>
      <c r="B70" s="1">
        <v>0.766892269879479</v>
      </c>
      <c r="C70" s="1">
        <v>7.5453042000000003</v>
      </c>
      <c r="D70" s="1">
        <v>-5.1772752000000004</v>
      </c>
      <c r="E70" s="1">
        <v>4.2510132852881797E-14</v>
      </c>
      <c r="F70" s="1">
        <v>1.0427907000000001</v>
      </c>
      <c r="G70" s="1">
        <v>-1.3252382999999901</v>
      </c>
      <c r="H70" s="1">
        <v>2.80340697246671E-7</v>
      </c>
      <c r="I70" s="1">
        <v>1.9260184499999999</v>
      </c>
      <c r="K70" s="6" t="s">
        <v>21</v>
      </c>
      <c r="L70" s="5">
        <f t="shared" si="10"/>
        <v>4.2510132852881797E-14</v>
      </c>
      <c r="M70" s="3">
        <f t="shared" si="11"/>
        <v>-2.1863225492593301</v>
      </c>
      <c r="N70" s="3">
        <f t="shared" si="12"/>
        <v>-0.55963769869372193</v>
      </c>
      <c r="O70" s="5">
        <f t="shared" si="13"/>
        <v>2.80340697246671E-7</v>
      </c>
      <c r="Q70">
        <v>-2.1863225492593301</v>
      </c>
      <c r="R70">
        <v>-0.55963769869372193</v>
      </c>
      <c r="S70">
        <f t="shared" si="9"/>
        <v>1.372980123976526</v>
      </c>
      <c r="AN70" s="14"/>
    </row>
    <row r="71" spans="1:40" x14ac:dyDescent="0.2">
      <c r="A71" s="1">
        <v>2.3680289999999902</v>
      </c>
      <c r="B71" s="1">
        <v>0.766892269879479</v>
      </c>
      <c r="C71" s="1">
        <v>5.3724498000000001</v>
      </c>
      <c r="D71" s="1">
        <v>-3.0044208000000001</v>
      </c>
      <c r="E71" s="1">
        <v>2.26141657618581E-15</v>
      </c>
      <c r="F71" s="1">
        <v>1.36380553</v>
      </c>
      <c r="G71" s="1">
        <v>-1.0042234699999899</v>
      </c>
      <c r="H71" s="1">
        <v>1.7467040362299698E-5</v>
      </c>
      <c r="I71" s="1">
        <v>1.0000986650000001</v>
      </c>
      <c r="K71" s="6" t="s">
        <v>22</v>
      </c>
      <c r="L71" s="5">
        <f t="shared" si="10"/>
        <v>2.26141657618581E-15</v>
      </c>
      <c r="M71" s="3">
        <f t="shared" si="11"/>
        <v>-1.2687432459653207</v>
      </c>
      <c r="N71" s="3">
        <f t="shared" si="12"/>
        <v>-0.42407566376931788</v>
      </c>
      <c r="O71" s="5">
        <f t="shared" si="13"/>
        <v>1.7467040362299698E-5</v>
      </c>
      <c r="Q71">
        <v>-1.2687432459653207</v>
      </c>
      <c r="R71">
        <v>-0.42407566376931788</v>
      </c>
      <c r="S71">
        <f t="shared" si="9"/>
        <v>0.84640945486731933</v>
      </c>
      <c r="AN71" s="14"/>
    </row>
    <row r="72" spans="1:40" x14ac:dyDescent="0.2">
      <c r="A72" s="1">
        <v>2.3680289999999902</v>
      </c>
      <c r="B72" s="1">
        <v>0.766892269879479</v>
      </c>
      <c r="C72" s="1">
        <v>2.9842623999999902</v>
      </c>
      <c r="D72" s="1">
        <v>-0.61623340000000004</v>
      </c>
      <c r="E72" s="1">
        <v>5.4928835474538796E-3</v>
      </c>
      <c r="F72" s="1">
        <v>1.8005426499999899</v>
      </c>
      <c r="G72" s="1">
        <v>-0.56748635000000003</v>
      </c>
      <c r="H72" s="1">
        <v>5.0796356899161397E-3</v>
      </c>
      <c r="I72" s="1">
        <v>2.4373524999999799E-2</v>
      </c>
      <c r="K72" s="6" t="s">
        <v>23</v>
      </c>
      <c r="L72" s="5">
        <f t="shared" si="10"/>
        <v>5.4928835474538796E-3</v>
      </c>
      <c r="M72" s="3">
        <f t="shared" si="11"/>
        <v>-0.2602305123797059</v>
      </c>
      <c r="N72" s="3">
        <f t="shared" si="12"/>
        <v>-0.2396450170162622</v>
      </c>
      <c r="O72" s="5">
        <f t="shared" si="13"/>
        <v>5.0796356899161397E-3</v>
      </c>
      <c r="Q72">
        <v>-0.2602305123797059</v>
      </c>
      <c r="R72">
        <v>-0.2396450170162622</v>
      </c>
      <c r="S72">
        <f t="shared" si="9"/>
        <v>0.24993776469798407</v>
      </c>
      <c r="AN72" s="14"/>
    </row>
    <row r="73" spans="1:40" x14ac:dyDescent="0.2">
      <c r="A73" s="1">
        <v>2.3680289999999902</v>
      </c>
      <c r="B73" s="1">
        <v>0.766892269879479</v>
      </c>
      <c r="C73" s="1">
        <v>1.36984474999999</v>
      </c>
      <c r="D73" s="1">
        <v>0.998184249999999</v>
      </c>
      <c r="E73" s="1">
        <v>1.90689684018372E-5</v>
      </c>
      <c r="F73" s="1">
        <v>3.3473156500000001</v>
      </c>
      <c r="G73" s="1">
        <v>0.97928665000000004</v>
      </c>
      <c r="H73" s="1">
        <v>2.27908899528314E-5</v>
      </c>
      <c r="I73" s="1">
        <v>-9.4487999999999205E-3</v>
      </c>
      <c r="K73" s="6" t="s">
        <v>24</v>
      </c>
      <c r="L73" s="5">
        <f t="shared" si="10"/>
        <v>1.90689684018372E-5</v>
      </c>
      <c r="M73" s="3">
        <f t="shared" si="11"/>
        <v>0.4215253487182814</v>
      </c>
      <c r="N73" s="3">
        <f t="shared" si="12"/>
        <v>0.41354504104468487</v>
      </c>
      <c r="O73" s="5">
        <f t="shared" si="13"/>
        <v>2.27908899528314E-5</v>
      </c>
      <c r="Q73">
        <v>0.4215253487182814</v>
      </c>
      <c r="R73">
        <v>0.41354504104468487</v>
      </c>
      <c r="S73">
        <f t="shared" si="9"/>
        <v>0.41753519488148316</v>
      </c>
      <c r="AN73" s="14"/>
    </row>
    <row r="74" spans="1:40" ht="51" x14ac:dyDescent="0.2">
      <c r="L74" s="11" t="s">
        <v>0</v>
      </c>
      <c r="M74" s="4" t="s">
        <v>1</v>
      </c>
      <c r="N74" s="4" t="s">
        <v>2</v>
      </c>
      <c r="O74" s="11" t="s">
        <v>0</v>
      </c>
      <c r="AN74" s="14"/>
    </row>
    <row r="76" spans="1:40" x14ac:dyDescent="0.2">
      <c r="A76" t="s">
        <v>38</v>
      </c>
      <c r="L76" s="11"/>
      <c r="M76" s="4"/>
      <c r="N76" s="4"/>
      <c r="O76" s="11"/>
    </row>
    <row r="77" spans="1:40" ht="19" x14ac:dyDescent="0.25">
      <c r="L77" s="18" t="s">
        <v>43</v>
      </c>
      <c r="M77" s="19"/>
      <c r="N77" s="19"/>
      <c r="O77" s="19"/>
    </row>
    <row r="78" spans="1:40" x14ac:dyDescent="0.2">
      <c r="A78" s="1">
        <v>0.20100519224970501</v>
      </c>
      <c r="B78" s="1">
        <v>8.85939358959556E-2</v>
      </c>
      <c r="C78" s="1">
        <v>0.205818802292669</v>
      </c>
      <c r="D78" s="1">
        <v>-4.8136100429637899E-3</v>
      </c>
      <c r="E78" s="1">
        <v>0.82825204236683803</v>
      </c>
      <c r="F78" s="1">
        <v>0.178798040512612</v>
      </c>
      <c r="G78" s="1">
        <v>-2.2207151737092999E-2</v>
      </c>
      <c r="H78" s="1">
        <v>0.32105450805799202</v>
      </c>
      <c r="I78" s="1">
        <v>-8.6967708470646107E-3</v>
      </c>
      <c r="K78" s="6" t="s">
        <v>3</v>
      </c>
      <c r="L78" s="8">
        <f t="shared" ref="L78:L99" si="14">E78</f>
        <v>0.82825204236683803</v>
      </c>
      <c r="M78" s="2">
        <f t="shared" ref="M78:M99" si="15">D78/A78</f>
        <v>-2.3947690052622778E-2</v>
      </c>
      <c r="N78" s="13">
        <f t="shared" ref="N78:N99" si="16">G78/A78</f>
        <v>-0.11048048803388853</v>
      </c>
      <c r="O78" s="8">
        <f t="shared" ref="O78:O99" si="17">H78</f>
        <v>0.32105450805799202</v>
      </c>
      <c r="Q78">
        <v>0</v>
      </c>
      <c r="R78">
        <v>0</v>
      </c>
      <c r="S78">
        <f t="shared" ref="S78:S99" si="18">(ABS(Q78)+ABS(R78))/2</f>
        <v>0</v>
      </c>
    </row>
    <row r="79" spans="1:40" x14ac:dyDescent="0.2">
      <c r="A79" s="1">
        <v>0.20100519224970501</v>
      </c>
      <c r="B79" s="1">
        <v>8.85939358959556E-2</v>
      </c>
      <c r="C79" s="1">
        <v>0.171305740464269</v>
      </c>
      <c r="D79" s="1">
        <v>2.9699451785435999E-2</v>
      </c>
      <c r="E79" s="1">
        <v>0.18591065083973099</v>
      </c>
      <c r="F79" s="1">
        <v>0.22819012520555501</v>
      </c>
      <c r="G79" s="1">
        <v>2.7184932955849599E-2</v>
      </c>
      <c r="H79" s="1">
        <v>0.26470649355551401</v>
      </c>
      <c r="I79" s="1">
        <v>-1.2572594147931501E-3</v>
      </c>
      <c r="K79" s="6" t="s">
        <v>4</v>
      </c>
      <c r="L79" s="8">
        <f t="shared" si="14"/>
        <v>0.18591065083973099</v>
      </c>
      <c r="M79" s="2">
        <f t="shared" si="15"/>
        <v>0.14775464978308084</v>
      </c>
      <c r="N79" s="13">
        <f t="shared" si="16"/>
        <v>0.1352449290069993</v>
      </c>
      <c r="O79" s="8">
        <f t="shared" si="17"/>
        <v>0.26470649355551401</v>
      </c>
      <c r="Q79">
        <v>0</v>
      </c>
      <c r="R79">
        <v>0</v>
      </c>
      <c r="S79">
        <f t="shared" si="18"/>
        <v>0</v>
      </c>
    </row>
    <row r="80" spans="1:40" x14ac:dyDescent="0.2">
      <c r="A80" s="1">
        <v>0.20100519224970501</v>
      </c>
      <c r="B80" s="1">
        <v>8.85939358959556E-2</v>
      </c>
      <c r="C80" s="1">
        <v>0.185822508337745</v>
      </c>
      <c r="D80" s="1">
        <v>1.51826839119596E-2</v>
      </c>
      <c r="E80" s="1">
        <v>0.48473363204308301</v>
      </c>
      <c r="F80" s="1">
        <v>0.18683839311903699</v>
      </c>
      <c r="G80" s="1">
        <v>-1.41667991306674E-2</v>
      </c>
      <c r="H80" s="1">
        <v>0.52158897544572602</v>
      </c>
      <c r="I80" s="1">
        <v>-1.4674741521313499E-2</v>
      </c>
      <c r="K80" s="6" t="s">
        <v>5</v>
      </c>
      <c r="L80" s="8">
        <f t="shared" si="14"/>
        <v>0.48473363204308301</v>
      </c>
      <c r="M80" s="2">
        <f t="shared" si="15"/>
        <v>7.5533789660012535E-2</v>
      </c>
      <c r="N80" s="13">
        <f t="shared" si="16"/>
        <v>-7.0479767075211919E-2</v>
      </c>
      <c r="O80" s="8">
        <f t="shared" si="17"/>
        <v>0.52158897544572602</v>
      </c>
      <c r="Q80">
        <v>0</v>
      </c>
      <c r="R80">
        <v>0</v>
      </c>
      <c r="S80">
        <f t="shared" si="18"/>
        <v>0</v>
      </c>
    </row>
    <row r="81" spans="1:19" x14ac:dyDescent="0.2">
      <c r="A81" s="1">
        <v>0.20100519224970501</v>
      </c>
      <c r="B81" s="1">
        <v>8.85939358959556E-2</v>
      </c>
      <c r="C81" s="1">
        <v>0.17690213421708101</v>
      </c>
      <c r="D81" s="1">
        <v>2.41030580326239E-2</v>
      </c>
      <c r="E81" s="1">
        <v>0.29904070277292999</v>
      </c>
      <c r="F81" s="1">
        <v>0.22102663215909499</v>
      </c>
      <c r="G81" s="1">
        <v>2.0021439909389899E-2</v>
      </c>
      <c r="H81" s="1">
        <v>0.46353876839848401</v>
      </c>
      <c r="I81" s="1">
        <v>-2.0408090616169999E-3</v>
      </c>
      <c r="K81" s="6" t="s">
        <v>6</v>
      </c>
      <c r="L81" s="8">
        <f t="shared" si="14"/>
        <v>0.29904070277292999</v>
      </c>
      <c r="M81" s="2">
        <f t="shared" si="15"/>
        <v>0.11991261401188642</v>
      </c>
      <c r="N81" s="13">
        <f t="shared" si="16"/>
        <v>9.9606580732091915E-2</v>
      </c>
      <c r="O81" s="8">
        <f t="shared" si="17"/>
        <v>0.46353876839848401</v>
      </c>
      <c r="Q81">
        <v>0</v>
      </c>
      <c r="R81">
        <v>0</v>
      </c>
      <c r="S81">
        <f t="shared" si="18"/>
        <v>0</v>
      </c>
    </row>
    <row r="82" spans="1:19" x14ac:dyDescent="0.2">
      <c r="A82" s="1">
        <v>0.20100519224970501</v>
      </c>
      <c r="B82" s="1">
        <v>8.85939358959556E-2</v>
      </c>
      <c r="C82" s="1">
        <v>0.21001936733467499</v>
      </c>
      <c r="D82" s="1">
        <v>-9.0141750849704796E-3</v>
      </c>
      <c r="E82" s="1">
        <v>0.72048612618441898</v>
      </c>
      <c r="F82" s="1">
        <v>0.187040144595462</v>
      </c>
      <c r="G82" s="1">
        <v>-1.3965047654243E-2</v>
      </c>
      <c r="H82" s="1">
        <v>0.52886509511137703</v>
      </c>
      <c r="I82" s="1">
        <v>-2.47543628463628E-3</v>
      </c>
      <c r="K82" s="6" t="s">
        <v>7</v>
      </c>
      <c r="L82" s="8">
        <f t="shared" si="14"/>
        <v>0.72048612618441898</v>
      </c>
      <c r="M82" s="2">
        <f t="shared" si="15"/>
        <v>-4.484548376129676E-2</v>
      </c>
      <c r="N82" s="13">
        <f t="shared" si="16"/>
        <v>-6.9476054314529745E-2</v>
      </c>
      <c r="O82" s="8">
        <f t="shared" si="17"/>
        <v>0.52886509511137703</v>
      </c>
      <c r="Q82">
        <v>0</v>
      </c>
      <c r="R82">
        <v>0</v>
      </c>
      <c r="S82">
        <f t="shared" si="18"/>
        <v>0</v>
      </c>
    </row>
    <row r="83" spans="1:19" x14ac:dyDescent="0.2">
      <c r="A83" s="1">
        <v>0.20100519224970501</v>
      </c>
      <c r="B83" s="1">
        <v>8.85939358959556E-2</v>
      </c>
      <c r="C83" s="1">
        <v>3.6847657759987801E-2</v>
      </c>
      <c r="D83" s="1">
        <v>0.16415753448971701</v>
      </c>
      <c r="E83" s="1">
        <v>1.09934156423965E-7</v>
      </c>
      <c r="F83" s="1">
        <v>0.49018350493798402</v>
      </c>
      <c r="G83" s="1">
        <v>0.28917831268827798</v>
      </c>
      <c r="H83" s="1">
        <v>2.21294982807659E-13</v>
      </c>
      <c r="I83" s="1">
        <v>6.2510389099280597E-2</v>
      </c>
      <c r="K83" s="6" t="s">
        <v>8</v>
      </c>
      <c r="L83" s="7">
        <f t="shared" si="14"/>
        <v>1.09934156423965E-7</v>
      </c>
      <c r="M83" s="2">
        <f t="shared" si="15"/>
        <v>0.81668305506151884</v>
      </c>
      <c r="N83" s="13">
        <f t="shared" si="16"/>
        <v>1.4386609094606728</v>
      </c>
      <c r="O83" s="7">
        <f t="shared" si="17"/>
        <v>2.21294982807659E-13</v>
      </c>
      <c r="Q83">
        <v>0.81604728380954028</v>
      </c>
      <c r="R83">
        <v>1.4360318350683474</v>
      </c>
      <c r="S83">
        <f t="shared" si="18"/>
        <v>1.1260395594389438</v>
      </c>
    </row>
    <row r="84" spans="1:19" x14ac:dyDescent="0.2">
      <c r="A84" s="1">
        <v>0.20100519224970501</v>
      </c>
      <c r="B84" s="1">
        <v>8.85939358959556E-2</v>
      </c>
      <c r="C84" s="1">
        <v>0.196207146774347</v>
      </c>
      <c r="D84" s="1">
        <v>4.7980454753576898E-3</v>
      </c>
      <c r="E84" s="1">
        <v>0.85074137196572797</v>
      </c>
      <c r="F84" s="1">
        <v>0.21316021359567799</v>
      </c>
      <c r="G84" s="1">
        <v>1.21550213459726E-2</v>
      </c>
      <c r="H84" s="1">
        <v>0.63460968606480095</v>
      </c>
      <c r="I84" s="1">
        <v>3.6784879353074901E-3</v>
      </c>
      <c r="K84" s="6" t="s">
        <v>9</v>
      </c>
      <c r="L84" s="8">
        <f t="shared" si="14"/>
        <v>0.85074137196572797</v>
      </c>
      <c r="M84" s="2">
        <f t="shared" si="15"/>
        <v>2.3870256393164049E-2</v>
      </c>
      <c r="N84" s="13">
        <f t="shared" si="16"/>
        <v>6.0471180917916999E-2</v>
      </c>
      <c r="O84" s="8">
        <f t="shared" si="17"/>
        <v>0.63460968606480095</v>
      </c>
      <c r="Q84">
        <v>0</v>
      </c>
      <c r="R84">
        <v>0</v>
      </c>
      <c r="S84">
        <f t="shared" si="18"/>
        <v>0</v>
      </c>
    </row>
    <row r="85" spans="1:19" x14ac:dyDescent="0.2">
      <c r="A85" s="1">
        <v>0.20100519224970501</v>
      </c>
      <c r="B85" s="1">
        <v>8.85939358959556E-2</v>
      </c>
      <c r="C85" s="1">
        <v>3.0543123326586302E-2</v>
      </c>
      <c r="D85" s="1">
        <v>0.17046206892311799</v>
      </c>
      <c r="E85" s="1">
        <v>7.9310993724385093E-8</v>
      </c>
      <c r="F85" s="1">
        <v>0.49306682625343701</v>
      </c>
      <c r="G85" s="1">
        <v>0.29206163400373197</v>
      </c>
      <c r="H85" s="1">
        <v>2.034900639842E-13</v>
      </c>
      <c r="I85" s="1">
        <v>6.0799782540306699E-2</v>
      </c>
      <c r="K85" s="6" t="s">
        <v>10</v>
      </c>
      <c r="L85" s="7">
        <f t="shared" si="14"/>
        <v>7.9310993724385093E-8</v>
      </c>
      <c r="M85" s="2">
        <f t="shared" si="15"/>
        <v>0.84804808778947427</v>
      </c>
      <c r="N85" s="13">
        <f t="shared" si="16"/>
        <v>1.4530054210784229</v>
      </c>
      <c r="O85" s="7">
        <f t="shared" si="17"/>
        <v>2.034900639842E-13</v>
      </c>
      <c r="Q85">
        <v>0.84739387044812753</v>
      </c>
      <c r="R85">
        <v>1.4503292670976999</v>
      </c>
      <c r="S85">
        <f t="shared" si="18"/>
        <v>1.1488615687729138</v>
      </c>
    </row>
    <row r="86" spans="1:19" x14ac:dyDescent="0.2">
      <c r="A86" s="1">
        <v>0.20100519224970501</v>
      </c>
      <c r="B86" s="1">
        <v>8.85939358959556E-2</v>
      </c>
      <c r="C86" s="1">
        <v>0.44181824071516101</v>
      </c>
      <c r="D86" s="1">
        <v>-0.24081304846545601</v>
      </c>
      <c r="E86" s="1">
        <v>9.1802423666515595E-11</v>
      </c>
      <c r="F86" s="1">
        <v>7.1105796052999395E-2</v>
      </c>
      <c r="G86" s="1">
        <v>-0.12989939619670501</v>
      </c>
      <c r="H86" s="1">
        <v>3.3944274535826901E-6</v>
      </c>
      <c r="I86" s="1">
        <v>5.5456826134375303E-2</v>
      </c>
      <c r="K86" s="6" t="s">
        <v>11</v>
      </c>
      <c r="L86" s="7">
        <f t="shared" si="14"/>
        <v>9.1802423666515595E-11</v>
      </c>
      <c r="M86" s="2">
        <f t="shared" si="15"/>
        <v>-1.1980439200112725</v>
      </c>
      <c r="N86" s="13">
        <f t="shared" si="16"/>
        <v>-0.64624895875989818</v>
      </c>
      <c r="O86" s="7">
        <f t="shared" si="17"/>
        <v>3.3944274535826901E-6</v>
      </c>
      <c r="Q86">
        <v>-1.1951712396286043</v>
      </c>
      <c r="R86">
        <v>-0.64526164583793388</v>
      </c>
      <c r="S86">
        <f t="shared" si="18"/>
        <v>0.92021644273326908</v>
      </c>
    </row>
    <row r="87" spans="1:19" x14ac:dyDescent="0.2">
      <c r="A87" s="1">
        <v>0.20100519224970501</v>
      </c>
      <c r="B87" s="1">
        <v>8.85939358959556E-2</v>
      </c>
      <c r="C87" s="1">
        <v>4.4262905967449202E-2</v>
      </c>
      <c r="D87" s="1">
        <v>0.156742286282256</v>
      </c>
      <c r="E87" s="1">
        <v>1.78394349057475E-7</v>
      </c>
      <c r="F87" s="1">
        <v>0.51391435629827797</v>
      </c>
      <c r="G87" s="1">
        <v>0.312909164048573</v>
      </c>
      <c r="H87" s="1">
        <v>3.6593015429108498E-13</v>
      </c>
      <c r="I87" s="1">
        <v>7.8083438883158496E-2</v>
      </c>
      <c r="K87" s="6" t="s">
        <v>12</v>
      </c>
      <c r="L87" s="7">
        <f t="shared" si="14"/>
        <v>1.78394349057475E-7</v>
      </c>
      <c r="M87" s="2">
        <f t="shared" si="15"/>
        <v>0.77979222590199548</v>
      </c>
      <c r="N87" s="13">
        <f t="shared" si="16"/>
        <v>1.5567217968173268</v>
      </c>
      <c r="O87" s="7">
        <f t="shared" si="17"/>
        <v>3.6593015429108498E-13</v>
      </c>
      <c r="Q87">
        <v>0.77922161475870144</v>
      </c>
      <c r="R87">
        <v>1.5535425161540684</v>
      </c>
      <c r="S87">
        <f t="shared" si="18"/>
        <v>1.1663820654563848</v>
      </c>
    </row>
    <row r="88" spans="1:19" x14ac:dyDescent="0.2">
      <c r="A88" s="1">
        <v>0.20100519224970501</v>
      </c>
      <c r="B88" s="1">
        <v>8.85939358959556E-2</v>
      </c>
      <c r="C88" s="1">
        <v>0.13218353417227799</v>
      </c>
      <c r="D88" s="1">
        <v>6.88216580774271E-2</v>
      </c>
      <c r="E88" s="1">
        <v>3.2837946726355098E-3</v>
      </c>
      <c r="F88" s="1">
        <v>0.32453942898698102</v>
      </c>
      <c r="G88" s="1">
        <v>0.123534236737275</v>
      </c>
      <c r="H88" s="1">
        <v>4.2258559209106298E-4</v>
      </c>
      <c r="I88" s="1">
        <v>2.7356289329924201E-2</v>
      </c>
      <c r="K88" s="6" t="s">
        <v>13</v>
      </c>
      <c r="L88" s="7">
        <f t="shared" si="14"/>
        <v>3.2837946726355098E-3</v>
      </c>
      <c r="M88" s="2">
        <f t="shared" si="15"/>
        <v>0.34238746425978506</v>
      </c>
      <c r="N88" s="13">
        <f t="shared" si="16"/>
        <v>0.61458231677821895</v>
      </c>
      <c r="O88" s="7">
        <f t="shared" si="17"/>
        <v>4.2258559209106298E-4</v>
      </c>
      <c r="Q88">
        <v>0.34232206871996917</v>
      </c>
      <c r="R88">
        <v>0.61573475588353022</v>
      </c>
      <c r="S88">
        <f t="shared" si="18"/>
        <v>0.4790284123017497</v>
      </c>
    </row>
    <row r="89" spans="1:19" x14ac:dyDescent="0.2">
      <c r="A89" s="1">
        <v>0.20100519224970501</v>
      </c>
      <c r="B89" s="1">
        <v>8.85939358959556E-2</v>
      </c>
      <c r="C89" s="1">
        <v>1.8642365726083399E-2</v>
      </c>
      <c r="D89" s="1">
        <v>0.18236282652362101</v>
      </c>
      <c r="E89" s="1">
        <v>2.88366904119822E-8</v>
      </c>
      <c r="F89" s="1">
        <v>0.80887253808814696</v>
      </c>
      <c r="G89" s="1">
        <v>0.60786734583844204</v>
      </c>
      <c r="H89" s="1">
        <v>1.18336361798008E-18</v>
      </c>
      <c r="I89" s="1">
        <v>0.21275225965740999</v>
      </c>
      <c r="K89" s="6" t="s">
        <v>14</v>
      </c>
      <c r="L89" s="7">
        <f t="shared" si="14"/>
        <v>2.88366904119822E-8</v>
      </c>
      <c r="M89" s="2">
        <f t="shared" si="15"/>
        <v>0.90725430762542225</v>
      </c>
      <c r="N89" s="13">
        <f t="shared" si="16"/>
        <v>3.0241375311504379</v>
      </c>
      <c r="O89" s="7">
        <f t="shared" si="17"/>
        <v>1.18336361798008E-18</v>
      </c>
      <c r="Q89">
        <v>0.90684133939576828</v>
      </c>
      <c r="R89">
        <v>3.0222775755340368</v>
      </c>
      <c r="S89">
        <f t="shared" si="18"/>
        <v>1.9645594574649026</v>
      </c>
    </row>
    <row r="90" spans="1:19" x14ac:dyDescent="0.2">
      <c r="A90" s="1">
        <v>0.20100519224970501</v>
      </c>
      <c r="B90" s="1">
        <v>8.85939358959556E-2</v>
      </c>
      <c r="C90" s="1">
        <v>0.23741905401124999</v>
      </c>
      <c r="D90" s="1">
        <v>-3.6413861761544798E-2</v>
      </c>
      <c r="E90" s="1">
        <v>0.102841073914864</v>
      </c>
      <c r="F90" s="1">
        <v>0.16797738813312599</v>
      </c>
      <c r="G90" s="1">
        <v>-3.30278041165789E-2</v>
      </c>
      <c r="H90" s="1">
        <v>0.14637826341542001</v>
      </c>
      <c r="I90" s="1">
        <v>1.6930288224829199E-3</v>
      </c>
      <c r="K90" s="6" t="s">
        <v>15</v>
      </c>
      <c r="L90" s="8">
        <f t="shared" si="14"/>
        <v>0.102841073914864</v>
      </c>
      <c r="M90" s="2">
        <f t="shared" si="15"/>
        <v>-0.18115881164058956</v>
      </c>
      <c r="N90" s="13">
        <f t="shared" si="16"/>
        <v>-0.16431318886304724</v>
      </c>
      <c r="O90" s="8">
        <f t="shared" si="17"/>
        <v>0.14637826341542001</v>
      </c>
      <c r="Q90">
        <v>0</v>
      </c>
      <c r="R90">
        <v>0</v>
      </c>
      <c r="S90">
        <f t="shared" si="18"/>
        <v>0</v>
      </c>
    </row>
    <row r="91" spans="1:19" x14ac:dyDescent="0.2">
      <c r="A91" s="1">
        <v>0.20100519224970501</v>
      </c>
      <c r="B91" s="1">
        <v>8.85939358959556E-2</v>
      </c>
      <c r="C91" s="1">
        <v>0.14538164525555999</v>
      </c>
      <c r="D91" s="1">
        <v>5.5623546994144797E-2</v>
      </c>
      <c r="E91" s="1">
        <v>1.66781418417008E-2</v>
      </c>
      <c r="F91" s="1">
        <v>0.224936777734147</v>
      </c>
      <c r="G91" s="1">
        <v>2.39315854844416E-2</v>
      </c>
      <c r="H91" s="1">
        <v>0.46738596270939903</v>
      </c>
      <c r="I91" s="1">
        <v>-1.58459807548515E-2</v>
      </c>
      <c r="K91" s="6" t="s">
        <v>16</v>
      </c>
      <c r="L91" s="8">
        <f t="shared" si="14"/>
        <v>1.66781418417008E-2</v>
      </c>
      <c r="M91" s="2">
        <f t="shared" si="15"/>
        <v>0.27672691621341156</v>
      </c>
      <c r="N91" s="13">
        <f t="shared" si="16"/>
        <v>0.11905953879396228</v>
      </c>
      <c r="O91" s="8">
        <f t="shared" si="17"/>
        <v>0.46738596270939903</v>
      </c>
      <c r="Q91">
        <v>0</v>
      </c>
      <c r="R91">
        <v>0</v>
      </c>
      <c r="S91">
        <f t="shared" si="18"/>
        <v>0</v>
      </c>
    </row>
    <row r="92" spans="1:19" x14ac:dyDescent="0.2">
      <c r="A92" s="1">
        <v>0.20100519224970501</v>
      </c>
      <c r="B92" s="1">
        <v>8.85939358959556E-2</v>
      </c>
      <c r="C92" s="1">
        <v>0.19872259414559601</v>
      </c>
      <c r="D92" s="1">
        <v>2.2825981041091599E-3</v>
      </c>
      <c r="E92" s="1">
        <v>0.92932790679156196</v>
      </c>
      <c r="F92" s="1">
        <v>0.22338000983166001</v>
      </c>
      <c r="G92" s="1">
        <v>2.2374817581954701E-2</v>
      </c>
      <c r="H92" s="1">
        <v>0.39212783880126101</v>
      </c>
      <c r="I92" s="1">
        <v>1.00461097389227E-2</v>
      </c>
      <c r="K92" s="6" t="s">
        <v>17</v>
      </c>
      <c r="L92" s="8">
        <f t="shared" si="14"/>
        <v>0.92932790679156196</v>
      </c>
      <c r="M92" s="2">
        <f t="shared" si="15"/>
        <v>1.1355916126154247E-2</v>
      </c>
      <c r="N92" s="13">
        <f t="shared" si="16"/>
        <v>0.11131462491853883</v>
      </c>
      <c r="O92" s="8">
        <f t="shared" si="17"/>
        <v>0.39212783880126101</v>
      </c>
      <c r="Q92">
        <v>0</v>
      </c>
      <c r="R92">
        <v>0</v>
      </c>
      <c r="S92">
        <f t="shared" si="18"/>
        <v>0</v>
      </c>
    </row>
    <row r="93" spans="1:19" x14ac:dyDescent="0.2">
      <c r="A93" s="1">
        <v>0.20100519224970501</v>
      </c>
      <c r="B93" s="1">
        <v>8.85939358959556E-2</v>
      </c>
      <c r="C93" s="1">
        <v>0.20759075416381501</v>
      </c>
      <c r="D93" s="1">
        <v>-6.5855619141105201E-3</v>
      </c>
      <c r="E93" s="1">
        <v>0.78824602847773195</v>
      </c>
      <c r="F93" s="1">
        <v>0.18475434623303499</v>
      </c>
      <c r="G93" s="1">
        <v>-1.6250846016669901E-2</v>
      </c>
      <c r="H93" s="1">
        <v>0.475376099301488</v>
      </c>
      <c r="I93" s="1">
        <v>-4.8326420512796999E-3</v>
      </c>
      <c r="K93" s="6" t="s">
        <v>18</v>
      </c>
      <c r="L93" s="8">
        <f t="shared" si="14"/>
        <v>0.78824602847773195</v>
      </c>
      <c r="M93" s="2">
        <f t="shared" si="15"/>
        <v>-3.2763143282037208E-2</v>
      </c>
      <c r="N93" s="13">
        <f t="shared" si="16"/>
        <v>-8.0847891712577141E-2</v>
      </c>
      <c r="O93" s="8">
        <f t="shared" si="17"/>
        <v>0.475376099301488</v>
      </c>
      <c r="Q93">
        <v>0</v>
      </c>
      <c r="R93">
        <v>0</v>
      </c>
      <c r="S93">
        <f t="shared" si="18"/>
        <v>0</v>
      </c>
    </row>
    <row r="94" spans="1:19" x14ac:dyDescent="0.2">
      <c r="A94" s="1">
        <v>0.20100519224970501</v>
      </c>
      <c r="B94" s="1">
        <v>8.85939358959556E-2</v>
      </c>
      <c r="C94" s="1">
        <v>0.22434942518854201</v>
      </c>
      <c r="D94" s="1">
        <v>-2.3344232938837299E-2</v>
      </c>
      <c r="E94" s="1">
        <v>0.41252809261758899</v>
      </c>
      <c r="F94" s="1">
        <v>0.20315108239474799</v>
      </c>
      <c r="G94" s="1">
        <v>2.14589014504362E-3</v>
      </c>
      <c r="H94" s="1">
        <v>0.93258005226600404</v>
      </c>
      <c r="I94" s="1">
        <v>1.2745061541940401E-2</v>
      </c>
      <c r="K94" s="6" t="s">
        <v>19</v>
      </c>
      <c r="L94" s="8">
        <f t="shared" si="14"/>
        <v>0.41252809261758899</v>
      </c>
      <c r="M94" s="2">
        <f t="shared" si="15"/>
        <v>-0.11613746230911882</v>
      </c>
      <c r="N94" s="13">
        <f t="shared" si="16"/>
        <v>1.0675794595284985E-2</v>
      </c>
      <c r="O94" s="8">
        <f t="shared" si="17"/>
        <v>0.93258005226600404</v>
      </c>
      <c r="Q94">
        <v>0</v>
      </c>
      <c r="R94">
        <v>0</v>
      </c>
      <c r="S94">
        <f t="shared" si="18"/>
        <v>0</v>
      </c>
    </row>
    <row r="95" spans="1:19" x14ac:dyDescent="0.2">
      <c r="A95" s="1">
        <v>0.20100519224970501</v>
      </c>
      <c r="B95" s="1">
        <v>8.85939358959556E-2</v>
      </c>
      <c r="C95" s="1">
        <v>0.30713601730672402</v>
      </c>
      <c r="D95" s="1">
        <v>-0.106130825057019</v>
      </c>
      <c r="E95" s="1">
        <v>1.3529282755781201E-4</v>
      </c>
      <c r="F95" s="1">
        <v>0.14082365710574199</v>
      </c>
      <c r="G95" s="1">
        <v>-6.0181535143962898E-2</v>
      </c>
      <c r="H95" s="1">
        <v>2.0816284936723599E-2</v>
      </c>
      <c r="I95" s="1">
        <v>2.2974644956528002E-2</v>
      </c>
      <c r="K95" s="6" t="s">
        <v>20</v>
      </c>
      <c r="L95" s="7">
        <f t="shared" si="14"/>
        <v>1.3529282755781201E-4</v>
      </c>
      <c r="M95" s="2">
        <f t="shared" si="15"/>
        <v>-0.52800041565679878</v>
      </c>
      <c r="N95" s="13">
        <f t="shared" si="16"/>
        <v>-0.29940288840499452</v>
      </c>
      <c r="O95" s="8">
        <f t="shared" si="17"/>
        <v>2.0816284936723599E-2</v>
      </c>
      <c r="Q95">
        <v>-0.52797179100300295</v>
      </c>
      <c r="R95">
        <v>0</v>
      </c>
      <c r="S95">
        <f t="shared" si="18"/>
        <v>0.26398589550150148</v>
      </c>
    </row>
    <row r="96" spans="1:19" x14ac:dyDescent="0.2">
      <c r="A96" s="1">
        <v>0.20100519224970501</v>
      </c>
      <c r="B96" s="1">
        <v>8.85939358959556E-2</v>
      </c>
      <c r="C96" s="1">
        <v>0.62215405447875505</v>
      </c>
      <c r="D96" s="1">
        <v>-0.42114886222904901</v>
      </c>
      <c r="E96" s="1">
        <v>2.4618921632096398E-10</v>
      </c>
      <c r="F96" s="1">
        <v>8.2347842124540105E-2</v>
      </c>
      <c r="G96" s="1">
        <v>-0.118657350125165</v>
      </c>
      <c r="H96" s="1">
        <v>1.2333543406157999E-5</v>
      </c>
      <c r="I96" s="1">
        <v>0.15124575605194199</v>
      </c>
      <c r="K96" s="6" t="s">
        <v>21</v>
      </c>
      <c r="L96" s="7">
        <f t="shared" si="14"/>
        <v>2.4618921632096398E-10</v>
      </c>
      <c r="M96" s="2">
        <f t="shared" si="15"/>
        <v>-2.0952138475401352</v>
      </c>
      <c r="N96" s="13">
        <f t="shared" si="16"/>
        <v>-0.59031982605583233</v>
      </c>
      <c r="O96" s="7">
        <f t="shared" si="17"/>
        <v>1.2333543406157999E-5</v>
      </c>
      <c r="Q96">
        <v>-2.0960996418412914</v>
      </c>
      <c r="R96">
        <v>-0.59002152253655848</v>
      </c>
      <c r="S96">
        <f t="shared" si="18"/>
        <v>1.343060582188925</v>
      </c>
    </row>
    <row r="97" spans="1:19" x14ac:dyDescent="0.2">
      <c r="A97" s="1">
        <v>0.20100519224970501</v>
      </c>
      <c r="B97" s="1">
        <v>8.85939358959556E-2</v>
      </c>
      <c r="C97" s="1">
        <v>0.42946445076982298</v>
      </c>
      <c r="D97" s="1">
        <v>-0.228459258520118</v>
      </c>
      <c r="E97" s="1">
        <v>2.08802581388737E-10</v>
      </c>
      <c r="F97" s="1">
        <v>0.11658864274255</v>
      </c>
      <c r="G97" s="1">
        <v>-8.44165495071552E-2</v>
      </c>
      <c r="H97" s="1">
        <v>9.7335987711771605E-4</v>
      </c>
      <c r="I97" s="1">
        <v>7.2021354506481394E-2</v>
      </c>
      <c r="K97" s="6" t="s">
        <v>22</v>
      </c>
      <c r="L97" s="7">
        <f t="shared" si="14"/>
        <v>2.08802581388737E-10</v>
      </c>
      <c r="M97" s="2">
        <f t="shared" si="15"/>
        <v>-1.1365838661337033</v>
      </c>
      <c r="N97" s="13">
        <f t="shared" si="16"/>
        <v>-0.41997198461563168</v>
      </c>
      <c r="O97" s="7">
        <f t="shared" si="17"/>
        <v>9.7335987711771605E-4</v>
      </c>
      <c r="Q97">
        <v>-1.1378687709295627</v>
      </c>
      <c r="R97">
        <v>-0.42001188218803859</v>
      </c>
      <c r="S97">
        <f t="shared" si="18"/>
        <v>0.77894032655880063</v>
      </c>
    </row>
    <row r="98" spans="1:19" x14ac:dyDescent="0.2">
      <c r="A98" s="1">
        <v>0.20100519224970501</v>
      </c>
      <c r="B98" s="1">
        <v>8.85939358959556E-2</v>
      </c>
      <c r="C98" s="1">
        <v>0.27492906013906698</v>
      </c>
      <c r="D98" s="1">
        <v>-7.3923867889362505E-2</v>
      </c>
      <c r="E98" s="1">
        <v>7.6510592086722401E-3</v>
      </c>
      <c r="F98" s="1">
        <v>0.13022760328219801</v>
      </c>
      <c r="G98" s="1">
        <v>-7.0777588967507105E-2</v>
      </c>
      <c r="H98" s="1">
        <v>2.7509335817272299E-3</v>
      </c>
      <c r="I98" s="1">
        <v>1.5731394609277401E-3</v>
      </c>
      <c r="K98" s="6" t="s">
        <v>23</v>
      </c>
      <c r="L98" s="7">
        <f t="shared" si="14"/>
        <v>7.6510592086722401E-3</v>
      </c>
      <c r="M98" s="2">
        <f t="shared" si="15"/>
        <v>-0.36777093696927121</v>
      </c>
      <c r="N98" s="13">
        <f t="shared" si="16"/>
        <v>-0.35211821234737767</v>
      </c>
      <c r="O98" s="7">
        <f t="shared" si="17"/>
        <v>2.7509335817272299E-3</v>
      </c>
      <c r="Q98">
        <v>-0.36672538731894633</v>
      </c>
      <c r="R98">
        <v>-0.35102470437163491</v>
      </c>
      <c r="S98">
        <f t="shared" si="18"/>
        <v>0.35887504584529062</v>
      </c>
    </row>
    <row r="99" spans="1:19" x14ac:dyDescent="0.2">
      <c r="A99" s="1">
        <v>0.20100519224970501</v>
      </c>
      <c r="B99" s="1">
        <v>8.85939358959556E-2</v>
      </c>
      <c r="C99" s="1">
        <v>0.10096515328597799</v>
      </c>
      <c r="D99" s="1">
        <v>0.100040038963726</v>
      </c>
      <c r="E99" s="1">
        <v>1.1523149583122101E-4</v>
      </c>
      <c r="F99" s="1">
        <v>0.28833166343868599</v>
      </c>
      <c r="G99" s="1">
        <v>8.7326471188981403E-2</v>
      </c>
      <c r="H99" s="1">
        <v>4.6433308718962899E-4</v>
      </c>
      <c r="I99" s="1">
        <v>-6.3567838873725899E-3</v>
      </c>
      <c r="K99" s="6" t="s">
        <v>24</v>
      </c>
      <c r="L99" s="7">
        <f t="shared" si="14"/>
        <v>1.1523149583122101E-4</v>
      </c>
      <c r="M99" s="2">
        <f t="shared" si="15"/>
        <v>0.49769878003672724</v>
      </c>
      <c r="N99" s="13">
        <f t="shared" si="16"/>
        <v>0.43444883294605324</v>
      </c>
      <c r="O99" s="7">
        <f t="shared" si="17"/>
        <v>4.6433308718962899E-4</v>
      </c>
      <c r="Q99">
        <v>0.49695819242210726</v>
      </c>
      <c r="R99">
        <v>0.43424559816725883</v>
      </c>
      <c r="S99">
        <f t="shared" si="18"/>
        <v>0.46560189529468304</v>
      </c>
    </row>
    <row r="100" spans="1:19" ht="51" x14ac:dyDescent="0.2">
      <c r="L100" s="11" t="s">
        <v>0</v>
      </c>
      <c r="M100" s="4" t="s">
        <v>1</v>
      </c>
      <c r="N100" s="4" t="s">
        <v>2</v>
      </c>
      <c r="O100" s="11" t="s">
        <v>0</v>
      </c>
    </row>
    <row r="102" spans="1:19" x14ac:dyDescent="0.2">
      <c r="A102" t="s">
        <v>38</v>
      </c>
      <c r="L102" s="8"/>
      <c r="M102" s="2"/>
      <c r="N102" s="3"/>
      <c r="O102" s="8"/>
    </row>
    <row r="103" spans="1:19" ht="19" x14ac:dyDescent="0.25">
      <c r="L103" s="18" t="s">
        <v>44</v>
      </c>
      <c r="M103" s="19"/>
      <c r="N103" s="19"/>
      <c r="O103" s="19"/>
    </row>
    <row r="104" spans="1:19" x14ac:dyDescent="0.2">
      <c r="A104" s="1">
        <v>0.21259170849307099</v>
      </c>
      <c r="B104" s="1">
        <v>8.4129829960243097E-2</v>
      </c>
      <c r="C104" s="1">
        <v>0.21824770085496201</v>
      </c>
      <c r="D104" s="1">
        <v>-5.6559923618915101E-3</v>
      </c>
      <c r="E104" s="1">
        <v>0.78728274052736202</v>
      </c>
      <c r="F104" s="1">
        <v>0.252765183732101</v>
      </c>
      <c r="G104" s="1">
        <v>4.0173475239030497E-2</v>
      </c>
      <c r="H104" s="1">
        <v>6.4067560872630602E-2</v>
      </c>
      <c r="I104" s="1">
        <v>2.2914733800460999E-2</v>
      </c>
      <c r="K104" s="6" t="s">
        <v>3</v>
      </c>
      <c r="L104" s="9">
        <f t="shared" ref="L104:L125" si="19">E104</f>
        <v>0.78728274052736202</v>
      </c>
      <c r="M104" s="3">
        <f>D104/A104</f>
        <v>-2.6604952761249651E-2</v>
      </c>
      <c r="N104" s="3">
        <f t="shared" ref="N104:N125" si="20">G104/A104</f>
        <v>0.18897009447731999</v>
      </c>
      <c r="O104" s="9">
        <f t="shared" ref="O104:O125" si="21">H104</f>
        <v>6.4067560872630602E-2</v>
      </c>
      <c r="Q104">
        <v>0</v>
      </c>
      <c r="R104">
        <v>0</v>
      </c>
      <c r="S104">
        <v>0</v>
      </c>
    </row>
    <row r="105" spans="1:19" x14ac:dyDescent="0.2">
      <c r="A105" s="1">
        <v>0.21259170849307099</v>
      </c>
      <c r="B105" s="1">
        <v>8.4129829960243097E-2</v>
      </c>
      <c r="C105" s="1">
        <v>0.37525319494919401</v>
      </c>
      <c r="D105" s="1">
        <v>-0.162661486456122</v>
      </c>
      <c r="E105" s="1">
        <v>5.0987527295473499E-8</v>
      </c>
      <c r="F105" s="1">
        <v>0.14842992116356599</v>
      </c>
      <c r="G105" s="1">
        <v>-6.4161787329505296E-2</v>
      </c>
      <c r="H105" s="1">
        <v>5.2032052908104797E-3</v>
      </c>
      <c r="I105" s="1">
        <v>4.9249849563308599E-2</v>
      </c>
      <c r="K105" s="6" t="s">
        <v>4</v>
      </c>
      <c r="L105" s="5">
        <f t="shared" si="19"/>
        <v>5.0987527295473499E-8</v>
      </c>
      <c r="M105" s="3">
        <f t="shared" ref="M105:M125" si="22">D105/A105</f>
        <v>-0.76513560951707404</v>
      </c>
      <c r="N105" s="3">
        <f t="shared" si="20"/>
        <v>-0.30180757182068801</v>
      </c>
      <c r="O105" s="5">
        <f t="shared" si="21"/>
        <v>5.2032052908104797E-3</v>
      </c>
      <c r="Q105">
        <v>-0.76525638634524218</v>
      </c>
      <c r="R105">
        <v>-0.30184178373400294</v>
      </c>
      <c r="S105">
        <f t="shared" ref="S105:S125" si="23">(ABS(Q105)+ABS(R105))/2</f>
        <v>0.53354908503962251</v>
      </c>
    </row>
    <row r="106" spans="1:19" x14ac:dyDescent="0.2">
      <c r="A106" s="1">
        <v>0.21259170849307099</v>
      </c>
      <c r="B106" s="1">
        <v>8.4129829960243097E-2</v>
      </c>
      <c r="C106" s="1">
        <v>0.22806675852583799</v>
      </c>
      <c r="D106" s="1">
        <v>-1.5475050032767499E-2</v>
      </c>
      <c r="E106" s="1">
        <v>0.44831154828658398</v>
      </c>
      <c r="F106" s="1">
        <v>0.25028781485773</v>
      </c>
      <c r="G106" s="1">
        <v>3.7696106364659102E-2</v>
      </c>
      <c r="H106" s="1">
        <v>7.7863222097033502E-2</v>
      </c>
      <c r="I106" s="1">
        <v>2.6585578198713301E-2</v>
      </c>
      <c r="K106" s="6" t="s">
        <v>5</v>
      </c>
      <c r="L106" s="9">
        <f t="shared" si="19"/>
        <v>0.44831154828658398</v>
      </c>
      <c r="M106" s="3">
        <f t="shared" si="22"/>
        <v>-7.2792349910823909E-2</v>
      </c>
      <c r="N106" s="3">
        <f t="shared" si="20"/>
        <v>0.17731691716418815</v>
      </c>
      <c r="O106" s="9">
        <f t="shared" si="21"/>
        <v>7.7863222097033502E-2</v>
      </c>
      <c r="Q106">
        <v>0</v>
      </c>
      <c r="R106">
        <v>0</v>
      </c>
      <c r="S106">
        <f t="shared" si="23"/>
        <v>0</v>
      </c>
    </row>
    <row r="107" spans="1:19" x14ac:dyDescent="0.2">
      <c r="A107" s="1">
        <v>0.21259170849307099</v>
      </c>
      <c r="B107" s="1">
        <v>8.4129829960243097E-2</v>
      </c>
      <c r="C107" s="1">
        <v>0.24329213652110601</v>
      </c>
      <c r="D107" s="1">
        <v>-3.0700428028034799E-2</v>
      </c>
      <c r="E107" s="1">
        <v>0.17051210001949099</v>
      </c>
      <c r="F107" s="1">
        <v>0.214507921534385</v>
      </c>
      <c r="G107" s="1">
        <v>1.91621304131389E-3</v>
      </c>
      <c r="H107" s="1">
        <v>0.938642451465592</v>
      </c>
      <c r="I107" s="1">
        <v>1.6308320534674299E-2</v>
      </c>
      <c r="K107" s="6" t="s">
        <v>6</v>
      </c>
      <c r="L107" s="9">
        <f t="shared" si="19"/>
        <v>0.17051210001949099</v>
      </c>
      <c r="M107" s="3">
        <f t="shared" si="22"/>
        <v>-0.14441027943023196</v>
      </c>
      <c r="N107" s="3">
        <f t="shared" si="20"/>
        <v>9.0135831491111283E-3</v>
      </c>
      <c r="O107" s="9">
        <f t="shared" si="21"/>
        <v>0.938642451465592</v>
      </c>
      <c r="Q107">
        <v>0</v>
      </c>
      <c r="R107">
        <v>0</v>
      </c>
      <c r="S107">
        <f t="shared" si="23"/>
        <v>0</v>
      </c>
    </row>
    <row r="108" spans="1:19" x14ac:dyDescent="0.2">
      <c r="A108" s="1">
        <v>0.21259170849307099</v>
      </c>
      <c r="B108" s="1">
        <v>8.4129829960243097E-2</v>
      </c>
      <c r="C108" s="1">
        <v>0.221311557204461</v>
      </c>
      <c r="D108" s="1">
        <v>-8.7198487113896404E-3</v>
      </c>
      <c r="E108" s="1">
        <v>0.70357790229303296</v>
      </c>
      <c r="F108" s="1">
        <v>0.238012058654237</v>
      </c>
      <c r="G108" s="1">
        <v>2.5420350161166099E-2</v>
      </c>
      <c r="H108" s="1">
        <v>0.23834062762899999</v>
      </c>
      <c r="I108" s="1">
        <v>1.70700994362778E-2</v>
      </c>
      <c r="K108" s="6" t="s">
        <v>7</v>
      </c>
      <c r="L108" s="9">
        <f t="shared" si="19"/>
        <v>0.70357790229303296</v>
      </c>
      <c r="M108" s="3">
        <f t="shared" si="22"/>
        <v>-4.1016880541575054E-2</v>
      </c>
      <c r="N108" s="3">
        <f t="shared" si="20"/>
        <v>0.11957357293638113</v>
      </c>
      <c r="O108" s="9">
        <f t="shared" si="21"/>
        <v>0.23834062762899999</v>
      </c>
      <c r="Q108">
        <v>0</v>
      </c>
      <c r="R108">
        <v>0</v>
      </c>
      <c r="S108">
        <f t="shared" si="23"/>
        <v>0</v>
      </c>
    </row>
    <row r="109" spans="1:19" x14ac:dyDescent="0.2">
      <c r="A109" s="1">
        <v>0.21259170849307099</v>
      </c>
      <c r="B109" s="1">
        <v>8.4129829960243097E-2</v>
      </c>
      <c r="C109" s="1">
        <v>0.35823099474423598</v>
      </c>
      <c r="D109" s="1">
        <v>-0.14563928625116501</v>
      </c>
      <c r="E109" s="1">
        <v>4.3163350089900599E-7</v>
      </c>
      <c r="F109" s="1">
        <v>0.16165219210808501</v>
      </c>
      <c r="G109" s="1">
        <v>-5.09395163849862E-2</v>
      </c>
      <c r="H109" s="1">
        <v>1.8333911046338702E-2</v>
      </c>
      <c r="I109" s="1">
        <v>4.7349884933089399E-2</v>
      </c>
      <c r="K109" s="6" t="s">
        <v>8</v>
      </c>
      <c r="L109" s="5">
        <f t="shared" si="19"/>
        <v>4.3163350089900599E-7</v>
      </c>
      <c r="M109" s="3">
        <f t="shared" si="22"/>
        <v>-0.6850656936881987</v>
      </c>
      <c r="N109" s="3">
        <f t="shared" si="20"/>
        <v>-0.23961196203776911</v>
      </c>
      <c r="O109" s="9">
        <f t="shared" si="21"/>
        <v>1.8333911046338702E-2</v>
      </c>
      <c r="Q109">
        <v>-0.68599189887126</v>
      </c>
      <c r="R109">
        <v>0</v>
      </c>
      <c r="S109">
        <f t="shared" si="23"/>
        <v>0.34299594943563</v>
      </c>
    </row>
    <row r="110" spans="1:19" x14ac:dyDescent="0.2">
      <c r="A110" s="1">
        <v>0.21259170849307099</v>
      </c>
      <c r="B110" s="1">
        <v>8.4129829960243097E-2</v>
      </c>
      <c r="C110" s="1">
        <v>0.22775908010294599</v>
      </c>
      <c r="D110" s="1">
        <v>-1.5167371609875101E-2</v>
      </c>
      <c r="E110" s="1">
        <v>0.52690299475626901</v>
      </c>
      <c r="F110" s="1">
        <v>0.217777077211982</v>
      </c>
      <c r="G110" s="1">
        <v>5.1853687189106403E-3</v>
      </c>
      <c r="H110" s="1">
        <v>0.82806000288384296</v>
      </c>
      <c r="I110" s="1">
        <v>1.0176370164392899E-2</v>
      </c>
      <c r="K110" s="6" t="s">
        <v>9</v>
      </c>
      <c r="L110" s="9">
        <f t="shared" si="19"/>
        <v>0.52690299475626901</v>
      </c>
      <c r="M110" s="3">
        <f t="shared" si="22"/>
        <v>-7.134507604923572E-2</v>
      </c>
      <c r="N110" s="3">
        <f t="shared" si="20"/>
        <v>2.4391208649041207E-2</v>
      </c>
      <c r="O110" s="9">
        <f t="shared" si="21"/>
        <v>0.82806000288384296</v>
      </c>
      <c r="Q110">
        <v>0</v>
      </c>
      <c r="R110">
        <v>0</v>
      </c>
      <c r="S110">
        <f t="shared" si="23"/>
        <v>0</v>
      </c>
    </row>
    <row r="111" spans="1:19" x14ac:dyDescent="0.2">
      <c r="A111" s="1">
        <v>0.21259170849307099</v>
      </c>
      <c r="B111" s="1">
        <v>8.4129829960243097E-2</v>
      </c>
      <c r="C111" s="1">
        <v>0.38164728478556398</v>
      </c>
      <c r="D111" s="1">
        <v>-0.16905557629249299</v>
      </c>
      <c r="E111" s="1">
        <v>3.2088118062714399E-8</v>
      </c>
      <c r="F111" s="1">
        <v>0.161977193306441</v>
      </c>
      <c r="G111" s="1">
        <v>-5.06145151866303E-2</v>
      </c>
      <c r="H111" s="1">
        <v>1.9303987644195698E-2</v>
      </c>
      <c r="I111" s="1">
        <v>5.92205305529315E-2</v>
      </c>
      <c r="K111" s="6" t="s">
        <v>10</v>
      </c>
      <c r="L111" s="5">
        <f t="shared" si="19"/>
        <v>3.2088118062714399E-8</v>
      </c>
      <c r="M111" s="3">
        <f t="shared" si="22"/>
        <v>-0.7952124637918464</v>
      </c>
      <c r="N111" s="3">
        <f t="shared" si="20"/>
        <v>-0.23808320439872649</v>
      </c>
      <c r="O111" s="9">
        <f t="shared" si="21"/>
        <v>1.9303987644195698E-2</v>
      </c>
      <c r="Q111">
        <v>-0.79627125296709034</v>
      </c>
      <c r="R111">
        <v>0</v>
      </c>
      <c r="S111">
        <f t="shared" si="23"/>
        <v>0.39813562648354517</v>
      </c>
    </row>
    <row r="112" spans="1:19" x14ac:dyDescent="0.2">
      <c r="A112" s="1">
        <v>0.21259170849307099</v>
      </c>
      <c r="B112" s="1">
        <v>8.4129829960243097E-2</v>
      </c>
      <c r="C112" s="1">
        <v>0.160827838972669</v>
      </c>
      <c r="D112" s="1">
        <v>5.1763869520402302E-2</v>
      </c>
      <c r="E112" s="1">
        <v>2.14669406603623E-2</v>
      </c>
      <c r="F112" s="1">
        <v>0.31377818083269199</v>
      </c>
      <c r="G112" s="1">
        <v>0.10118647233962</v>
      </c>
      <c r="H112" s="1">
        <v>1.1095868026157501E-4</v>
      </c>
      <c r="I112" s="1">
        <v>2.4711301409609102E-2</v>
      </c>
      <c r="K112" s="6" t="s">
        <v>11</v>
      </c>
      <c r="L112" s="9">
        <f t="shared" si="19"/>
        <v>2.14669406603623E-2</v>
      </c>
      <c r="M112" s="3">
        <f t="shared" si="22"/>
        <v>0.24348959744161161</v>
      </c>
      <c r="N112" s="3">
        <f t="shared" si="20"/>
        <v>0.47596622209241979</v>
      </c>
      <c r="O112" s="5">
        <f t="shared" si="21"/>
        <v>1.1095868026157501E-4</v>
      </c>
      <c r="Q112">
        <v>0</v>
      </c>
      <c r="R112">
        <v>0.4763501822452455</v>
      </c>
      <c r="S112">
        <f t="shared" si="23"/>
        <v>0.23817509112262275</v>
      </c>
    </row>
    <row r="113" spans="1:19" x14ac:dyDescent="0.2">
      <c r="A113" s="1">
        <v>0.21259170849307099</v>
      </c>
      <c r="B113" s="1">
        <v>8.4129829960243097E-2</v>
      </c>
      <c r="C113" s="1">
        <v>0.345096823463655</v>
      </c>
      <c r="D113" s="1">
        <v>-0.13250511497058401</v>
      </c>
      <c r="E113" s="1">
        <v>2.4707232980718101E-5</v>
      </c>
      <c r="F113" s="1">
        <v>0.15367341561464801</v>
      </c>
      <c r="G113" s="1">
        <v>-5.8918292878422401E-2</v>
      </c>
      <c r="H113" s="1">
        <v>1.23036912371031E-2</v>
      </c>
      <c r="I113" s="1">
        <v>3.6793411046080998E-2</v>
      </c>
      <c r="K113" s="6" t="s">
        <v>12</v>
      </c>
      <c r="L113" s="5">
        <f t="shared" si="19"/>
        <v>2.4707232980718101E-5</v>
      </c>
      <c r="M113" s="3">
        <f t="shared" si="22"/>
        <v>-0.62328449171338562</v>
      </c>
      <c r="N113" s="3">
        <f t="shared" si="20"/>
        <v>-0.27714294831184694</v>
      </c>
      <c r="O113" s="9">
        <f t="shared" si="21"/>
        <v>1.23036912371031E-2</v>
      </c>
      <c r="Q113">
        <v>-0.62414971692423249</v>
      </c>
      <c r="R113">
        <v>0</v>
      </c>
      <c r="S113">
        <f t="shared" si="23"/>
        <v>0.31207485846211624</v>
      </c>
    </row>
    <row r="114" spans="1:19" x14ac:dyDescent="0.2">
      <c r="A114" s="1">
        <v>0.21259170849307099</v>
      </c>
      <c r="B114" s="1">
        <v>8.4129829960243097E-2</v>
      </c>
      <c r="C114" s="1">
        <v>0.25525648097576398</v>
      </c>
      <c r="D114" s="1">
        <v>-4.26647724826935E-2</v>
      </c>
      <c r="E114" s="1">
        <v>4.5762823121960297E-2</v>
      </c>
      <c r="F114" s="1">
        <v>0.2055010085765</v>
      </c>
      <c r="G114" s="1">
        <v>-7.0906999165707097E-3</v>
      </c>
      <c r="H114" s="1">
        <v>0.76138325745544699</v>
      </c>
      <c r="I114" s="1">
        <v>1.77870362830614E-2</v>
      </c>
      <c r="K114" s="6" t="s">
        <v>13</v>
      </c>
      <c r="L114" s="9">
        <f t="shared" si="19"/>
        <v>4.5762823121960297E-2</v>
      </c>
      <c r="M114" s="3">
        <f t="shared" si="22"/>
        <v>-0.20068878878257887</v>
      </c>
      <c r="N114" s="3">
        <f t="shared" si="20"/>
        <v>-3.3353605212697264E-2</v>
      </c>
      <c r="O114" s="9">
        <f t="shared" si="21"/>
        <v>0.76138325745544699</v>
      </c>
      <c r="Q114">
        <v>0</v>
      </c>
      <c r="R114">
        <v>0</v>
      </c>
      <c r="S114">
        <f t="shared" si="23"/>
        <v>0</v>
      </c>
    </row>
    <row r="115" spans="1:19" x14ac:dyDescent="0.2">
      <c r="A115" s="1">
        <v>0.21259170849307099</v>
      </c>
      <c r="B115" s="1">
        <v>8.4129829960243097E-2</v>
      </c>
      <c r="C115" s="1">
        <v>0.41001613402938297</v>
      </c>
      <c r="D115" s="1">
        <v>-0.19742442553631101</v>
      </c>
      <c r="E115" s="1">
        <v>2.3617529409543198E-9</v>
      </c>
      <c r="F115" s="1">
        <v>0.13870452042237499</v>
      </c>
      <c r="G115" s="1">
        <v>-7.38871880706959E-2</v>
      </c>
      <c r="H115" s="1">
        <v>1.60411247617773E-3</v>
      </c>
      <c r="I115" s="1">
        <v>6.1768618732807798E-2</v>
      </c>
      <c r="K115" s="6" t="s">
        <v>14</v>
      </c>
      <c r="L115" s="5">
        <f t="shared" si="19"/>
        <v>2.3617529409543198E-9</v>
      </c>
      <c r="M115" s="3">
        <f t="shared" si="22"/>
        <v>-0.92865534096192504</v>
      </c>
      <c r="N115" s="3">
        <f t="shared" si="20"/>
        <v>-0.34755442060480973</v>
      </c>
      <c r="O115" s="5">
        <f t="shared" si="21"/>
        <v>1.60411247617773E-3</v>
      </c>
      <c r="Q115">
        <v>-0.93037540649542916</v>
      </c>
      <c r="R115">
        <v>-0.34769688522413594</v>
      </c>
      <c r="S115">
        <f t="shared" si="23"/>
        <v>0.63903614585978252</v>
      </c>
    </row>
    <row r="116" spans="1:19" x14ac:dyDescent="0.2">
      <c r="A116" s="1">
        <v>0.21259170849307099</v>
      </c>
      <c r="B116" s="1">
        <v>8.4129829960243097E-2</v>
      </c>
      <c r="C116" s="1">
        <v>0.28313273812018602</v>
      </c>
      <c r="D116" s="1">
        <v>-7.0541029627115295E-2</v>
      </c>
      <c r="E116" s="1">
        <v>2.42091893387316E-3</v>
      </c>
      <c r="F116" s="1">
        <v>0.20145958379947501</v>
      </c>
      <c r="G116" s="1">
        <v>-1.11321246935963E-2</v>
      </c>
      <c r="H116" s="1">
        <v>0.59379644935779397</v>
      </c>
      <c r="I116" s="1">
        <v>2.9704452466759401E-2</v>
      </c>
      <c r="K116" s="6" t="s">
        <v>15</v>
      </c>
      <c r="L116" s="5">
        <f t="shared" si="19"/>
        <v>2.42091893387316E-3</v>
      </c>
      <c r="M116" s="3">
        <f t="shared" si="22"/>
        <v>-0.33181458546589759</v>
      </c>
      <c r="N116" s="3">
        <f t="shared" si="20"/>
        <v>-5.2363870503252155E-2</v>
      </c>
      <c r="O116" s="9">
        <f t="shared" si="21"/>
        <v>0.59379644935779397</v>
      </c>
      <c r="Q116">
        <v>-0.33176006470237263</v>
      </c>
      <c r="R116">
        <v>0</v>
      </c>
      <c r="S116">
        <f t="shared" si="23"/>
        <v>0.16588003235118631</v>
      </c>
    </row>
    <row r="117" spans="1:19" x14ac:dyDescent="0.2">
      <c r="A117" s="1">
        <v>0.21259170849307099</v>
      </c>
      <c r="B117" s="1">
        <v>8.4129829960243097E-2</v>
      </c>
      <c r="C117" s="1">
        <v>0.113900986244587</v>
      </c>
      <c r="D117" s="1">
        <v>9.8690722248483798E-2</v>
      </c>
      <c r="E117" s="1">
        <v>6.7271647254616996E-5</v>
      </c>
      <c r="F117" s="1">
        <v>0.35892584271663702</v>
      </c>
      <c r="G117" s="1">
        <v>0.146334134223566</v>
      </c>
      <c r="H117" s="1">
        <v>5.1606344781629103E-5</v>
      </c>
      <c r="I117" s="1">
        <v>2.38217059875411E-2</v>
      </c>
      <c r="K117" s="6" t="s">
        <v>16</v>
      </c>
      <c r="L117" s="5">
        <f t="shared" si="19"/>
        <v>6.7271647254616996E-5</v>
      </c>
      <c r="M117" s="3">
        <f t="shared" si="22"/>
        <v>0.46422658225026886</v>
      </c>
      <c r="N117" s="3">
        <f t="shared" si="20"/>
        <v>0.68833415593127645</v>
      </c>
      <c r="O117" s="5">
        <f t="shared" si="21"/>
        <v>5.1606344781629103E-5</v>
      </c>
      <c r="Q117">
        <v>0.46422896590182011</v>
      </c>
      <c r="R117">
        <v>0.68842962927937756</v>
      </c>
      <c r="S117">
        <f t="shared" si="23"/>
        <v>0.57632929759059881</v>
      </c>
    </row>
    <row r="118" spans="1:19" x14ac:dyDescent="0.2">
      <c r="A118" s="1">
        <v>0.21259170849307099</v>
      </c>
      <c r="B118" s="1">
        <v>8.4129829960243097E-2</v>
      </c>
      <c r="C118" s="1">
        <v>0.242442831964504</v>
      </c>
      <c r="D118" s="1">
        <v>-2.9851123471433299E-2</v>
      </c>
      <c r="E118" s="1">
        <v>0.22113945544077701</v>
      </c>
      <c r="F118" s="1">
        <v>0.20324398527100901</v>
      </c>
      <c r="G118" s="1">
        <v>-9.3477232220622302E-3</v>
      </c>
      <c r="H118" s="1">
        <v>0.70085118122233103</v>
      </c>
      <c r="I118" s="1">
        <v>1.0251700124685501E-2</v>
      </c>
      <c r="K118" s="6" t="s">
        <v>17</v>
      </c>
      <c r="L118" s="9">
        <f t="shared" si="19"/>
        <v>0.22113945544077701</v>
      </c>
      <c r="M118" s="3">
        <f t="shared" si="22"/>
        <v>-0.14041527622610098</v>
      </c>
      <c r="N118" s="3">
        <f t="shared" si="20"/>
        <v>-4.3970309511703748E-2</v>
      </c>
      <c r="O118" s="9">
        <f t="shared" si="21"/>
        <v>0.70085118122233103</v>
      </c>
      <c r="Q118">
        <v>0</v>
      </c>
      <c r="R118">
        <v>0</v>
      </c>
      <c r="S118">
        <f t="shared" si="23"/>
        <v>0</v>
      </c>
    </row>
    <row r="119" spans="1:19" x14ac:dyDescent="0.2">
      <c r="A119" s="1">
        <v>0.21259170849307099</v>
      </c>
      <c r="B119" s="1">
        <v>8.4129829960243097E-2</v>
      </c>
      <c r="C119" s="1">
        <v>0.17985955216210101</v>
      </c>
      <c r="D119" s="1">
        <v>3.2732156330969799E-2</v>
      </c>
      <c r="E119" s="1">
        <v>0.13576252840442701</v>
      </c>
      <c r="F119" s="1">
        <v>0.27426342809168602</v>
      </c>
      <c r="G119" s="1">
        <v>6.1671719598614998E-2</v>
      </c>
      <c r="H119" s="1">
        <v>9.6955641307542306E-3</v>
      </c>
      <c r="I119" s="1">
        <v>1.44697816338226E-2</v>
      </c>
      <c r="K119" s="6" t="s">
        <v>18</v>
      </c>
      <c r="L119" s="9">
        <f t="shared" si="19"/>
        <v>0.13576252840442701</v>
      </c>
      <c r="M119" s="3">
        <f t="shared" si="22"/>
        <v>0.15396722931005863</v>
      </c>
      <c r="N119" s="3">
        <f t="shared" si="20"/>
        <v>0.29009466096193054</v>
      </c>
      <c r="O119" s="5">
        <f t="shared" si="21"/>
        <v>9.6955641307542306E-3</v>
      </c>
      <c r="Q119">
        <v>0</v>
      </c>
      <c r="R119">
        <v>0.29000674697846124</v>
      </c>
      <c r="S119">
        <f t="shared" si="23"/>
        <v>0.14500337348923062</v>
      </c>
    </row>
    <row r="120" spans="1:19" x14ac:dyDescent="0.2">
      <c r="A120" s="1">
        <v>0.21259170849307099</v>
      </c>
      <c r="B120" s="1">
        <v>8.4129829960243097E-2</v>
      </c>
      <c r="C120" s="1">
        <v>0.206927039693759</v>
      </c>
      <c r="D120" s="1">
        <v>5.6646687993121203E-3</v>
      </c>
      <c r="E120" s="1">
        <v>0.82734022336420099</v>
      </c>
      <c r="F120" s="1">
        <v>0.22804500879264</v>
      </c>
      <c r="G120" s="1">
        <v>1.5453300299568901E-2</v>
      </c>
      <c r="H120" s="1">
        <v>0.51163605743790497</v>
      </c>
      <c r="I120" s="1">
        <v>4.8943157501284201E-3</v>
      </c>
      <c r="K120" s="6" t="s">
        <v>19</v>
      </c>
      <c r="L120" s="9">
        <f t="shared" si="19"/>
        <v>0.82734022336420099</v>
      </c>
      <c r="M120" s="3">
        <f t="shared" si="22"/>
        <v>2.6645765441490627E-2</v>
      </c>
      <c r="N120" s="3">
        <f t="shared" si="20"/>
        <v>7.2690042377981878E-2</v>
      </c>
      <c r="O120" s="9">
        <f t="shared" si="21"/>
        <v>0.51163605743790497</v>
      </c>
      <c r="Q120">
        <v>0</v>
      </c>
      <c r="R120">
        <v>0</v>
      </c>
      <c r="S120">
        <f t="shared" si="23"/>
        <v>0</v>
      </c>
    </row>
    <row r="121" spans="1:19" x14ac:dyDescent="0.2">
      <c r="A121" s="1">
        <v>0.21259170849307099</v>
      </c>
      <c r="B121" s="1">
        <v>8.4129829960243097E-2</v>
      </c>
      <c r="C121" s="1">
        <v>0.20544184063191501</v>
      </c>
      <c r="D121" s="1">
        <v>7.1498678611561697E-3</v>
      </c>
      <c r="E121" s="1">
        <v>0.73813248344235405</v>
      </c>
      <c r="F121" s="1">
        <v>0.24987978964131499</v>
      </c>
      <c r="G121" s="1">
        <v>3.7288081148243897E-2</v>
      </c>
      <c r="H121" s="1">
        <v>0.16844003781658801</v>
      </c>
      <c r="I121" s="1">
        <v>1.50691066435438E-2</v>
      </c>
      <c r="K121" s="6" t="s">
        <v>20</v>
      </c>
      <c r="L121" s="9">
        <f t="shared" si="19"/>
        <v>0.73813248344235405</v>
      </c>
      <c r="M121" s="3">
        <f t="shared" si="22"/>
        <v>3.3631922485769031E-2</v>
      </c>
      <c r="N121" s="3">
        <f t="shared" si="20"/>
        <v>0.1753976268056533</v>
      </c>
      <c r="O121" s="9">
        <f t="shared" si="21"/>
        <v>0.16844003781658801</v>
      </c>
      <c r="Q121">
        <v>0</v>
      </c>
      <c r="R121">
        <v>0</v>
      </c>
      <c r="S121">
        <f t="shared" si="23"/>
        <v>0</v>
      </c>
    </row>
    <row r="122" spans="1:19" x14ac:dyDescent="0.2">
      <c r="A122" s="1">
        <v>0.21259170849307099</v>
      </c>
      <c r="B122" s="1">
        <v>8.4129829960243097E-2</v>
      </c>
      <c r="C122" s="1">
        <v>0.16366964020924599</v>
      </c>
      <c r="D122" s="1">
        <v>4.89220682838249E-2</v>
      </c>
      <c r="E122" s="1">
        <v>3.4942129741809602E-2</v>
      </c>
      <c r="F122" s="1">
        <v>0.29148838401340599</v>
      </c>
      <c r="G122" s="1">
        <v>7.8896675520335496E-2</v>
      </c>
      <c r="H122" s="1">
        <v>3.6717360142358001E-3</v>
      </c>
      <c r="I122" s="1">
        <v>1.49873036182553E-2</v>
      </c>
      <c r="K122" s="6" t="s">
        <v>21</v>
      </c>
      <c r="L122" s="9">
        <f t="shared" si="19"/>
        <v>3.4942129741809602E-2</v>
      </c>
      <c r="M122" s="3">
        <f t="shared" si="22"/>
        <v>0.23012218411810459</v>
      </c>
      <c r="N122" s="3">
        <f t="shared" si="20"/>
        <v>0.37111830973834514</v>
      </c>
      <c r="O122" s="5">
        <f t="shared" si="21"/>
        <v>3.6717360142358001E-3</v>
      </c>
      <c r="Q122">
        <v>0</v>
      </c>
      <c r="R122">
        <v>0.37153538453258339</v>
      </c>
      <c r="S122">
        <f t="shared" si="23"/>
        <v>0.1857676922662917</v>
      </c>
    </row>
    <row r="123" spans="1:19" x14ac:dyDescent="0.2">
      <c r="A123" s="1">
        <v>0.21259170849307099</v>
      </c>
      <c r="B123" s="1">
        <v>8.4129829960243097E-2</v>
      </c>
      <c r="C123" s="1">
        <v>0.18750457038478799</v>
      </c>
      <c r="D123" s="1">
        <v>2.5087138108282801E-2</v>
      </c>
      <c r="E123" s="1">
        <v>0.23778073040298001</v>
      </c>
      <c r="F123" s="1">
        <v>0.25682288381866603</v>
      </c>
      <c r="G123" s="1">
        <v>4.4231175325595097E-2</v>
      </c>
      <c r="H123" s="1">
        <v>0.119103483147166</v>
      </c>
      <c r="I123" s="1">
        <v>9.5720186086561097E-3</v>
      </c>
      <c r="K123" s="6" t="s">
        <v>22</v>
      </c>
      <c r="L123" s="9">
        <f t="shared" si="19"/>
        <v>0.23778073040298001</v>
      </c>
      <c r="M123" s="3">
        <f t="shared" si="22"/>
        <v>0.11800619265026729</v>
      </c>
      <c r="N123" s="3">
        <f t="shared" si="20"/>
        <v>0.20805691642031621</v>
      </c>
      <c r="O123" s="9">
        <f t="shared" si="21"/>
        <v>0.119103483147166</v>
      </c>
      <c r="Q123">
        <v>0</v>
      </c>
      <c r="R123">
        <v>0</v>
      </c>
      <c r="S123">
        <f t="shared" si="23"/>
        <v>0</v>
      </c>
    </row>
    <row r="124" spans="1:19" x14ac:dyDescent="0.2">
      <c r="A124" s="1">
        <v>0.21259170849307099</v>
      </c>
      <c r="B124" s="1">
        <v>8.4129829960243097E-2</v>
      </c>
      <c r="C124" s="1">
        <v>0.13793771400761301</v>
      </c>
      <c r="D124" s="1">
        <v>7.46539944854583E-2</v>
      </c>
      <c r="E124" s="1">
        <v>2.4410809389903299E-3</v>
      </c>
      <c r="F124" s="1">
        <v>0.35357651801353801</v>
      </c>
      <c r="G124" s="1">
        <v>0.14098480952046699</v>
      </c>
      <c r="H124" s="1">
        <v>4.2082212356282597E-7</v>
      </c>
      <c r="I124" s="1">
        <v>3.3165407517504401E-2</v>
      </c>
      <c r="K124" s="6" t="s">
        <v>23</v>
      </c>
      <c r="L124" s="5">
        <f t="shared" si="19"/>
        <v>2.4410809389903299E-3</v>
      </c>
      <c r="M124" s="3">
        <f t="shared" si="22"/>
        <v>0.35116136473352394</v>
      </c>
      <c r="N124" s="3">
        <f t="shared" si="20"/>
        <v>0.66317172254656453</v>
      </c>
      <c r="O124" s="5">
        <f t="shared" si="21"/>
        <v>4.2082212356282597E-7</v>
      </c>
      <c r="Q124">
        <v>0.3512208252138318</v>
      </c>
      <c r="R124">
        <v>0.66337906572139893</v>
      </c>
      <c r="S124">
        <f t="shared" si="23"/>
        <v>0.50729994546761537</v>
      </c>
    </row>
    <row r="125" spans="1:19" x14ac:dyDescent="0.2">
      <c r="A125" s="1">
        <v>0.21259170849307099</v>
      </c>
      <c r="B125" s="1">
        <v>8.4129829960243097E-2</v>
      </c>
      <c r="C125" s="1">
        <v>0.28057657616203102</v>
      </c>
      <c r="D125" s="1">
        <v>-6.7984867668960003E-2</v>
      </c>
      <c r="E125" s="1">
        <v>5.7867252004420297E-3</v>
      </c>
      <c r="F125" s="1">
        <v>0.213755707829517</v>
      </c>
      <c r="G125" s="1">
        <v>1.1639993364464501E-3</v>
      </c>
      <c r="H125" s="1">
        <v>0.95323259261975302</v>
      </c>
      <c r="I125" s="1">
        <v>3.45744335027032E-2</v>
      </c>
      <c r="K125" s="6" t="s">
        <v>24</v>
      </c>
      <c r="L125" s="5">
        <f t="shared" si="19"/>
        <v>5.7867252004420297E-3</v>
      </c>
      <c r="M125" s="3">
        <f t="shared" si="22"/>
        <v>-0.3197907771232566</v>
      </c>
      <c r="N125" s="3">
        <f t="shared" si="20"/>
        <v>5.4752809726085266E-3</v>
      </c>
      <c r="O125" s="9">
        <f t="shared" si="21"/>
        <v>0.95323259261975302</v>
      </c>
      <c r="Q125">
        <v>-0.31999280999314317</v>
      </c>
      <c r="R125">
        <v>0</v>
      </c>
      <c r="S125">
        <f t="shared" si="23"/>
        <v>0.15999640499657158</v>
      </c>
    </row>
    <row r="126" spans="1:19" ht="51" x14ac:dyDescent="0.2">
      <c r="L126" s="11" t="s">
        <v>0</v>
      </c>
      <c r="M126" s="4" t="s">
        <v>1</v>
      </c>
      <c r="N126" s="4" t="s">
        <v>2</v>
      </c>
      <c r="O126" s="11" t="s">
        <v>0</v>
      </c>
    </row>
  </sheetData>
  <sortState xmlns:xlrd2="http://schemas.microsoft.com/office/spreadsheetml/2017/richdata2" ref="AN2:AN74">
    <sortCondition descending="1" ref="AN2"/>
  </sortState>
  <mergeCells count="11">
    <mergeCell ref="L51:O51"/>
    <mergeCell ref="L77:O77"/>
    <mergeCell ref="L103:O103"/>
    <mergeCell ref="AH1:AL1"/>
    <mergeCell ref="AB1:AF1"/>
    <mergeCell ref="V1:Z1"/>
    <mergeCell ref="L1:O1"/>
    <mergeCell ref="L26:O26"/>
    <mergeCell ref="V26:Z26"/>
    <mergeCell ref="AB26:AF26"/>
    <mergeCell ref="AH26:AL26"/>
  </mergeCells>
  <conditionalFormatting sqref="AN19:AN22 AN15:AN17 AN13 AN11 AN2:AN9">
    <cfRule type="colorScale" priority="19">
      <colorScale>
        <cfvo type="min"/>
        <cfvo type="percentile" val="50"/>
        <cfvo type="max"/>
        <color theme="1"/>
        <color theme="7" tint="0.79998168889431442"/>
        <color rgb="FFFF0000"/>
      </colorScale>
    </cfRule>
  </conditionalFormatting>
  <conditionalFormatting sqref="AN24:AN25">
    <cfRule type="colorScale" priority="18">
      <colorScale>
        <cfvo type="min"/>
        <cfvo type="percentile" val="50"/>
        <cfvo type="max"/>
        <color theme="1"/>
        <color theme="7" tint="0.79998168889431442"/>
        <color rgb="FFFF0000"/>
      </colorScale>
    </cfRule>
  </conditionalFormatting>
  <conditionalFormatting sqref="AN44:AN47 AN40:AN42 AN38 AN36 AN27:AN34">
    <cfRule type="colorScale" priority="6">
      <colorScale>
        <cfvo type="min"/>
        <cfvo type="percentile" val="50"/>
        <cfvo type="max"/>
        <color theme="1"/>
        <color theme="7" tint="0.79998168889431442"/>
        <color rgb="FFFF0000"/>
      </colorScale>
    </cfRule>
  </conditionalFormatting>
  <conditionalFormatting sqref="AN49">
    <cfRule type="colorScale" priority="5">
      <colorScale>
        <cfvo type="min"/>
        <cfvo type="percentile" val="50"/>
        <cfvo type="max"/>
        <color theme="1"/>
        <color theme="7" tint="0.79998168889431442"/>
        <color rgb="FFFF0000"/>
      </colorScale>
    </cfRule>
  </conditionalFormatting>
  <conditionalFormatting sqref="AN44:AN47 AN40:AN42 AN38 AN36 AN27:AN34 AN49">
    <cfRule type="colorScale" priority="4">
      <colorScale>
        <cfvo type="min"/>
        <cfvo type="percentile" val="50"/>
        <cfvo type="max"/>
        <color theme="1"/>
        <color theme="0"/>
        <color rgb="FFFF0000"/>
      </colorScale>
    </cfRule>
  </conditionalFormatting>
  <conditionalFormatting sqref="M2:N23">
    <cfRule type="colorScale" priority="34">
      <colorScale>
        <cfvo type="min"/>
        <cfvo type="num" val="0"/>
        <cfvo type="max"/>
        <color theme="4"/>
        <color theme="0"/>
        <color rgb="FFC00000"/>
      </colorScale>
    </cfRule>
  </conditionalFormatting>
  <conditionalFormatting sqref="AH2:AL22">
    <cfRule type="colorScale" priority="36">
      <colorScale>
        <cfvo type="min"/>
        <cfvo type="percentile" val="50"/>
        <cfvo type="max"/>
        <color theme="1"/>
        <color rgb="FFFF2600"/>
        <color theme="0"/>
      </colorScale>
    </cfRule>
  </conditionalFormatting>
  <conditionalFormatting sqref="AH2:AL23">
    <cfRule type="colorScale" priority="38">
      <colorScale>
        <cfvo type="min"/>
        <cfvo type="percentile" val="50"/>
        <cfvo type="max"/>
        <color theme="1"/>
        <color rgb="FFFF0000"/>
        <color theme="7" tint="0.79998168889431442"/>
      </colorScale>
    </cfRule>
    <cfRule type="colorScale" priority="39">
      <colorScale>
        <cfvo type="min"/>
        <cfvo type="percentile" val="50"/>
        <cfvo type="max"/>
        <color rgb="FFF8696B"/>
        <color rgb="FFFCFCFF"/>
        <color rgb="FF5A8AC6"/>
      </colorScale>
    </cfRule>
  </conditionalFormatting>
  <conditionalFormatting sqref="AH2:AL23 AB2:AF23 V2:Z23">
    <cfRule type="colorScale" priority="42">
      <colorScale>
        <cfvo type="min"/>
        <cfvo type="percentile" val="50"/>
        <cfvo type="max"/>
        <color theme="1"/>
        <color theme="7" tint="0.79998168889431442"/>
        <color rgb="FFFF0000"/>
      </colorScale>
    </cfRule>
  </conditionalFormatting>
  <conditionalFormatting sqref="V2:Z23 AB2:AF23 AH2:AL23">
    <cfRule type="colorScale" priority="1">
      <colorScale>
        <cfvo type="min"/>
        <cfvo type="percentile" val="50"/>
        <cfvo type="max"/>
        <color theme="1"/>
        <color theme="7" tint="0.79998168889431442"/>
        <color rgb="FFFF0000"/>
      </colorScale>
    </cfRule>
    <cfRule type="colorScale" priority="71">
      <colorScale>
        <cfvo type="min"/>
        <cfvo type="percentile" val="50"/>
        <cfvo type="max"/>
        <color theme="1"/>
        <color theme="7" tint="0.79998168889431442"/>
        <color rgb="FFFF0000"/>
      </colorScale>
    </cfRule>
  </conditionalFormatting>
  <conditionalFormatting sqref="M27:N48">
    <cfRule type="colorScale" priority="72">
      <colorScale>
        <cfvo type="min"/>
        <cfvo type="num" val="0"/>
        <cfvo type="max"/>
        <color theme="4"/>
        <color theme="0"/>
        <color rgb="FFC00000"/>
      </colorScale>
    </cfRule>
  </conditionalFormatting>
  <conditionalFormatting sqref="AH27:AL47">
    <cfRule type="colorScale" priority="80">
      <colorScale>
        <cfvo type="min"/>
        <cfvo type="percentile" val="50"/>
        <cfvo type="max"/>
        <color theme="1"/>
        <color rgb="FFFF2600"/>
        <color theme="0"/>
      </colorScale>
    </cfRule>
  </conditionalFormatting>
  <conditionalFormatting sqref="AH27:AL48">
    <cfRule type="colorScale" priority="82">
      <colorScale>
        <cfvo type="min"/>
        <cfvo type="percentile" val="50"/>
        <cfvo type="max"/>
        <color theme="1"/>
        <color rgb="FFFF0000"/>
        <color theme="7" tint="0.79998168889431442"/>
      </colorScale>
    </cfRule>
    <cfRule type="colorScale" priority="83">
      <colorScale>
        <cfvo type="min"/>
        <cfvo type="percentile" val="50"/>
        <cfvo type="max"/>
        <color rgb="FFF8696B"/>
        <color rgb="FFFCFCFF"/>
        <color rgb="FF5A8AC6"/>
      </colorScale>
    </cfRule>
  </conditionalFormatting>
  <conditionalFormatting sqref="AH27:AL48 AB27:AF48 V27:Z48">
    <cfRule type="colorScale" priority="86">
      <colorScale>
        <cfvo type="min"/>
        <cfvo type="percentile" val="50"/>
        <cfvo type="max"/>
        <color theme="1"/>
        <color theme="7" tint="0.79998168889431442"/>
        <color rgb="FFFF0000"/>
      </colorScale>
    </cfRule>
  </conditionalFormatting>
  <conditionalFormatting sqref="V27:Z48 AB27:AF48 AH27:AL48">
    <cfRule type="colorScale" priority="101">
      <colorScale>
        <cfvo type="min"/>
        <cfvo type="max"/>
        <color theme="1"/>
        <color rgb="FFFF0000"/>
      </colorScale>
    </cfRule>
  </conditionalFormatting>
  <conditionalFormatting sqref="M52:N73">
    <cfRule type="colorScale" priority="109">
      <colorScale>
        <cfvo type="min"/>
        <cfvo type="num" val="0"/>
        <cfvo type="max"/>
        <color theme="4"/>
        <color theme="0"/>
        <color rgb="FFC00000"/>
      </colorScale>
    </cfRule>
  </conditionalFormatting>
  <conditionalFormatting sqref="AN65:AN74">
    <cfRule type="colorScale" priority="114">
      <colorScale>
        <cfvo type="min"/>
        <cfvo type="percentile" val="50"/>
        <cfvo type="max"/>
        <color theme="1"/>
        <color theme="7" tint="0.79998168889431442"/>
        <color rgb="FFFF0000"/>
      </colorScale>
    </cfRule>
  </conditionalFormatting>
  <conditionalFormatting sqref="AN50:AN64">
    <cfRule type="colorScale" priority="116">
      <colorScale>
        <cfvo type="min"/>
        <cfvo type="percentile" val="50"/>
        <cfvo type="max"/>
        <color theme="1"/>
        <color theme="7" tint="0.79998168889431442"/>
        <color rgb="FFFF0000"/>
      </colorScale>
    </cfRule>
  </conditionalFormatting>
  <conditionalFormatting sqref="AN50:AN74 AN19:AN22 AN15:AN17 AN13 AN11 AN2:AN9 AN24:AN25">
    <cfRule type="colorScale" priority="117">
      <colorScale>
        <cfvo type="min"/>
        <cfvo type="percentile" val="50"/>
        <cfvo type="max"/>
        <color theme="1"/>
        <color theme="0"/>
        <color rgb="FFFF0000"/>
      </colorScale>
    </cfRule>
  </conditionalFormatting>
  <conditionalFormatting sqref="M78:N99">
    <cfRule type="colorScale" priority="118">
      <colorScale>
        <cfvo type="min"/>
        <cfvo type="num" val="0"/>
        <cfvo type="max"/>
        <color theme="4"/>
        <color theme="0"/>
        <color rgb="FFC00000"/>
      </colorScale>
    </cfRule>
  </conditionalFormatting>
  <conditionalFormatting sqref="M104:N125">
    <cfRule type="colorScale" priority="119">
      <colorScale>
        <cfvo type="min"/>
        <cfvo type="num" val="0"/>
        <cfvo type="max"/>
        <color theme="4"/>
        <color theme="0"/>
        <color rgb="FFC00000"/>
      </colorScale>
    </cfRule>
    <cfRule type="colorScale" priority="120">
      <colorScale>
        <cfvo type="min"/>
        <cfvo type="num" val="0"/>
        <cfvo type="max"/>
        <color rgb="FF0070C0"/>
        <color theme="0"/>
        <color rgb="FFC00000"/>
      </colorScale>
    </cfRule>
  </conditionalFormatting>
  <pageMargins left="0.75" right="0.75" top="1" bottom="1" header="0.5" footer="0.5"/>
  <pageSetup orientation="landscape"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Tab.Baseline.GrowthRate</vt:lpstr>
      <vt:lpstr>Tab.Baseline.GrowthRate!Print_Area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Aponte-Serrano, Josua Oscar</dc:creator>
  <cp:lastModifiedBy>Microsoft Office User</cp:lastModifiedBy>
  <cp:lastPrinted>2020-10-30T23:20:18Z</cp:lastPrinted>
  <dcterms:created xsi:type="dcterms:W3CDTF">2020-10-30T00:15:00Z</dcterms:created>
  <dcterms:modified xsi:type="dcterms:W3CDTF">2021-07-01T16:59:29Z</dcterms:modified>
</cp:coreProperties>
</file>