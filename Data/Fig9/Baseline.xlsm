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oaponte/Desktop/Project_IFN/RevisionData/Fig9/"/>
    </mc:Choice>
  </mc:AlternateContent>
  <xr:revisionPtr revIDLastSave="0" documentId="13_ncr:1_{58241B76-6097-E740-9640-81352562EAE9}" xr6:coauthVersionLast="47" xr6:coauthVersionMax="47" xr10:uidLastSave="{00000000-0000-0000-0000-000000000000}"/>
  <bookViews>
    <workbookView xWindow="20" yWindow="500" windowWidth="42400" windowHeight="26380" xr2:uid="{00000000-000D-0000-FFFF-FFFF00000000}"/>
  </bookViews>
  <sheets>
    <sheet name="Tab.Baseline.GrowthRate" sheetId="1" r:id="rId1"/>
  </sheets>
  <calcPr calcId="191029"/>
</workbook>
</file>

<file path=xl/calcChain.xml><?xml version="1.0" encoding="utf-8"?>
<calcChain xmlns="http://schemas.openxmlformats.org/spreadsheetml/2006/main">
  <c r="S98" i="1" l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O124" i="1"/>
  <c r="N124" i="1"/>
  <c r="M124" i="1"/>
  <c r="L124" i="1"/>
  <c r="O123" i="1"/>
  <c r="N123" i="1"/>
  <c r="M123" i="1"/>
  <c r="L123" i="1"/>
  <c r="O122" i="1"/>
  <c r="N122" i="1"/>
  <c r="M122" i="1"/>
  <c r="L122" i="1"/>
  <c r="O121" i="1"/>
  <c r="N121" i="1"/>
  <c r="M121" i="1"/>
  <c r="L121" i="1"/>
  <c r="O120" i="1"/>
  <c r="N120" i="1"/>
  <c r="M120" i="1"/>
  <c r="L120" i="1"/>
  <c r="O119" i="1"/>
  <c r="N119" i="1"/>
  <c r="M119" i="1"/>
  <c r="L119" i="1"/>
  <c r="O118" i="1"/>
  <c r="N118" i="1"/>
  <c r="M118" i="1"/>
  <c r="L118" i="1"/>
  <c r="O117" i="1"/>
  <c r="N117" i="1"/>
  <c r="M117" i="1"/>
  <c r="L117" i="1"/>
  <c r="O116" i="1"/>
  <c r="N116" i="1"/>
  <c r="M116" i="1"/>
  <c r="L116" i="1"/>
  <c r="O115" i="1"/>
  <c r="N115" i="1"/>
  <c r="M115" i="1"/>
  <c r="L115" i="1"/>
  <c r="O114" i="1"/>
  <c r="N114" i="1"/>
  <c r="M114" i="1"/>
  <c r="L114" i="1"/>
  <c r="O113" i="1"/>
  <c r="N113" i="1"/>
  <c r="M113" i="1"/>
  <c r="L113" i="1"/>
  <c r="O112" i="1"/>
  <c r="N112" i="1"/>
  <c r="M112" i="1"/>
  <c r="L112" i="1"/>
  <c r="O111" i="1"/>
  <c r="N111" i="1"/>
  <c r="M111" i="1"/>
  <c r="L111" i="1"/>
  <c r="O110" i="1"/>
  <c r="N110" i="1"/>
  <c r="M110" i="1"/>
  <c r="L110" i="1"/>
  <c r="O109" i="1"/>
  <c r="N109" i="1"/>
  <c r="M109" i="1"/>
  <c r="L109" i="1"/>
  <c r="O108" i="1"/>
  <c r="N108" i="1"/>
  <c r="M108" i="1"/>
  <c r="L108" i="1"/>
  <c r="O107" i="1"/>
  <c r="N107" i="1"/>
  <c r="M107" i="1"/>
  <c r="L107" i="1"/>
  <c r="O106" i="1"/>
  <c r="N106" i="1"/>
  <c r="M106" i="1"/>
  <c r="L106" i="1"/>
  <c r="O105" i="1"/>
  <c r="N105" i="1"/>
  <c r="M105" i="1"/>
  <c r="L105" i="1"/>
  <c r="O104" i="1"/>
  <c r="N104" i="1"/>
  <c r="M104" i="1"/>
  <c r="L104" i="1"/>
  <c r="O103" i="1"/>
  <c r="N103" i="1"/>
  <c r="M103" i="1"/>
  <c r="L103" i="1"/>
  <c r="O98" i="1"/>
  <c r="N98" i="1"/>
  <c r="M98" i="1"/>
  <c r="L98" i="1"/>
  <c r="O97" i="1"/>
  <c r="N97" i="1"/>
  <c r="M97" i="1"/>
  <c r="L97" i="1"/>
  <c r="O96" i="1"/>
  <c r="N96" i="1"/>
  <c r="M96" i="1"/>
  <c r="L96" i="1"/>
  <c r="O95" i="1"/>
  <c r="N95" i="1"/>
  <c r="M95" i="1"/>
  <c r="L95" i="1"/>
  <c r="O94" i="1"/>
  <c r="N94" i="1"/>
  <c r="M94" i="1"/>
  <c r="L94" i="1"/>
  <c r="O93" i="1"/>
  <c r="N93" i="1"/>
  <c r="M93" i="1"/>
  <c r="L93" i="1"/>
  <c r="O92" i="1"/>
  <c r="N92" i="1"/>
  <c r="M92" i="1"/>
  <c r="L92" i="1"/>
  <c r="O91" i="1"/>
  <c r="N91" i="1"/>
  <c r="M91" i="1"/>
  <c r="L91" i="1"/>
  <c r="O90" i="1"/>
  <c r="N90" i="1"/>
  <c r="M90" i="1"/>
  <c r="L90" i="1"/>
  <c r="O89" i="1"/>
  <c r="N89" i="1"/>
  <c r="M89" i="1"/>
  <c r="L89" i="1"/>
  <c r="O88" i="1"/>
  <c r="N88" i="1"/>
  <c r="M88" i="1"/>
  <c r="L88" i="1"/>
  <c r="O87" i="1"/>
  <c r="N87" i="1"/>
  <c r="M87" i="1"/>
  <c r="L87" i="1"/>
  <c r="O86" i="1"/>
  <c r="N86" i="1"/>
  <c r="M86" i="1"/>
  <c r="L86" i="1"/>
  <c r="O85" i="1"/>
  <c r="N85" i="1"/>
  <c r="M85" i="1"/>
  <c r="L85" i="1"/>
  <c r="O84" i="1"/>
  <c r="N84" i="1"/>
  <c r="M84" i="1"/>
  <c r="L84" i="1"/>
  <c r="O83" i="1"/>
  <c r="N83" i="1"/>
  <c r="M83" i="1"/>
  <c r="L83" i="1"/>
  <c r="O82" i="1"/>
  <c r="N82" i="1"/>
  <c r="M82" i="1"/>
  <c r="L82" i="1"/>
  <c r="O81" i="1"/>
  <c r="N81" i="1"/>
  <c r="M81" i="1"/>
  <c r="L81" i="1"/>
  <c r="O80" i="1"/>
  <c r="N80" i="1"/>
  <c r="M80" i="1"/>
  <c r="L80" i="1"/>
  <c r="O79" i="1"/>
  <c r="N79" i="1"/>
  <c r="M79" i="1"/>
  <c r="L79" i="1"/>
  <c r="O78" i="1"/>
  <c r="N78" i="1"/>
  <c r="M78" i="1"/>
  <c r="L78" i="1"/>
  <c r="O77" i="1"/>
  <c r="N77" i="1"/>
  <c r="M77" i="1"/>
  <c r="L77" i="1"/>
  <c r="S3" i="1" l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2" i="1"/>
  <c r="O66" i="1" l="1"/>
  <c r="O67" i="1"/>
  <c r="O68" i="1"/>
  <c r="O69" i="1"/>
  <c r="O70" i="1"/>
  <c r="O71" i="1"/>
  <c r="O72" i="1"/>
  <c r="O73" i="1"/>
  <c r="N66" i="1"/>
  <c r="N67" i="1"/>
  <c r="N68" i="1"/>
  <c r="N69" i="1"/>
  <c r="N70" i="1"/>
  <c r="N71" i="1"/>
  <c r="N72" i="1"/>
  <c r="N73" i="1"/>
  <c r="M66" i="1"/>
  <c r="M67" i="1"/>
  <c r="M68" i="1"/>
  <c r="M69" i="1"/>
  <c r="M70" i="1"/>
  <c r="M71" i="1"/>
  <c r="M72" i="1"/>
  <c r="M73" i="1"/>
  <c r="L66" i="1"/>
  <c r="L67" i="1"/>
  <c r="L68" i="1"/>
  <c r="L69" i="1"/>
  <c r="L70" i="1"/>
  <c r="L71" i="1"/>
  <c r="L72" i="1"/>
  <c r="L73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27" i="1"/>
  <c r="N29" i="1"/>
  <c r="N28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27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" i="1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</calcChain>
</file>

<file path=xl/sharedStrings.xml><?xml version="1.0" encoding="utf-8"?>
<sst xmlns="http://schemas.openxmlformats.org/spreadsheetml/2006/main" count="137" uniqueCount="33">
  <si>
    <t>Baseline Growth Rate</t>
  </si>
  <si>
    <t>p-value -</t>
  </si>
  <si>
    <t>down -</t>
  </si>
  <si>
    <t>up -</t>
  </si>
  <si>
    <t>beta -</t>
  </si>
  <si>
    <t>c -</t>
  </si>
  <si>
    <t>k -</t>
  </si>
  <si>
    <t>k12 -</t>
  </si>
  <si>
    <t>k13 -</t>
  </si>
  <si>
    <t>k14 -</t>
  </si>
  <si>
    <t>k21 -</t>
  </si>
  <si>
    <t>k31 -</t>
  </si>
  <si>
    <t>k32 -</t>
  </si>
  <si>
    <t>k41 -</t>
  </si>
  <si>
    <t>k42 -</t>
  </si>
  <si>
    <t>k51 -</t>
  </si>
  <si>
    <t>k61 -</t>
  </si>
  <si>
    <t>k71 -</t>
  </si>
  <si>
    <t>k72 -</t>
  </si>
  <si>
    <t>k73 -</t>
  </si>
  <si>
    <t>n -</t>
  </si>
  <si>
    <t>t3 -</t>
  </si>
  <si>
    <t>t4 -</t>
  </si>
  <si>
    <t>t5 -</t>
  </si>
  <si>
    <t>vdc -</t>
  </si>
  <si>
    <t>idc -</t>
  </si>
  <si>
    <t>Baseline Ve Max</t>
  </si>
  <si>
    <t>Baseline Ve AUC</t>
  </si>
  <si>
    <t>Baseline IFNe Max</t>
  </si>
  <si>
    <t>Baseline IFNe AUC</t>
  </si>
  <si>
    <t>NEW</t>
  </si>
  <si>
    <t>𝛃 -</t>
  </si>
  <si>
    <t>τ_(V_e ) 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</si>
</sst>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1"/>
      <name val="Calibri (Body)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8">
    <xf numFmtId="0" fontId="0" fillId="0" borderId="0" xfId="0"/>
    <xf numFmtId="11" fontId="0" fillId="0" borderId="0" xfId="0" applyNumberFormat="1"/>
    <xf numFmtId="164" fontId="0" fillId="0" borderId="0" xfId="0" applyNumberFormat="1"/>
    <xf numFmtId="164" fontId="0" fillId="0" borderId="0" xfId="0" applyNumberFormat="1" applyAlignment="1">
      <alignment horizontal="center"/>
    </xf>
    <xf numFmtId="0" fontId="16" fillId="0" borderId="0" xfId="0" applyFont="1" applyAlignment="1">
      <alignment horizontal="center" vertical="top" textRotation="90"/>
    </xf>
    <xf numFmtId="164" fontId="0" fillId="33" borderId="0" xfId="0" applyNumberFormat="1" applyFill="1" applyAlignment="1">
      <alignment horizontal="center"/>
    </xf>
    <xf numFmtId="0" fontId="16" fillId="0" borderId="0" xfId="0" applyFont="1" applyAlignment="1">
      <alignment horizontal="right"/>
    </xf>
    <xf numFmtId="164" fontId="0" fillId="33" borderId="0" xfId="0" applyNumberFormat="1" applyFill="1"/>
    <xf numFmtId="2" fontId="0" fillId="0" borderId="0" xfId="0" applyNumberFormat="1" applyAlignment="1">
      <alignment horizontal="center"/>
    </xf>
    <xf numFmtId="164" fontId="0" fillId="0" borderId="0" xfId="0" applyNumberFormat="1" applyFill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125"/>
  <sheetViews>
    <sheetView tabSelected="1" topLeftCell="A78" workbookViewId="0">
      <selection activeCell="K102" sqref="K102:O125"/>
    </sheetView>
  </sheetViews>
  <sheetFormatPr baseColWidth="10" defaultRowHeight="16" x14ac:dyDescent="0.2"/>
  <cols>
    <col min="11" max="11" width="6" bestFit="1" customWidth="1"/>
    <col min="12" max="12" width="5.6640625" bestFit="1" customWidth="1"/>
    <col min="13" max="13" width="9.33203125" style="14" bestFit="1" customWidth="1"/>
    <col min="14" max="14" width="9.33203125" style="10" customWidth="1"/>
    <col min="15" max="15" width="5.6640625" bestFit="1" customWidth="1"/>
  </cols>
  <sheetData>
    <row r="1" spans="1:25" ht="19" x14ac:dyDescent="0.25">
      <c r="L1" s="15" t="s">
        <v>0</v>
      </c>
      <c r="M1" s="16"/>
      <c r="N1" s="16"/>
      <c r="O1" s="16"/>
    </row>
    <row r="2" spans="1:25" x14ac:dyDescent="0.2">
      <c r="A2" s="1">
        <v>2.1273544423575399</v>
      </c>
      <c r="B2" s="1">
        <v>7.0678406813370703E-2</v>
      </c>
      <c r="C2" s="1">
        <v>2.05186349401531</v>
      </c>
      <c r="D2" s="1">
        <v>7.5490948342228997E-2</v>
      </c>
      <c r="E2" s="1">
        <v>2.3433548235943701E-2</v>
      </c>
      <c r="F2" s="1">
        <v>2.1170366690675499</v>
      </c>
      <c r="G2" s="1">
        <v>-1.03177732899903E-2</v>
      </c>
      <c r="H2" s="1">
        <v>0.69710421893749097</v>
      </c>
      <c r="I2" s="1">
        <v>-4.2904360816109703E-2</v>
      </c>
      <c r="K2" s="17" t="s">
        <v>31</v>
      </c>
      <c r="L2" s="3">
        <f>E2</f>
        <v>2.3433548235943701E-2</v>
      </c>
      <c r="M2" s="11">
        <f>D2/A2</f>
        <v>3.5485834818653784E-2</v>
      </c>
      <c r="N2" s="3">
        <f>G2/A2</f>
        <v>-4.8500490019689037E-3</v>
      </c>
      <c r="O2" s="3">
        <f>H2</f>
        <v>0.69710421893749097</v>
      </c>
      <c r="Q2">
        <v>0</v>
      </c>
      <c r="R2">
        <v>0</v>
      </c>
      <c r="S2">
        <f>(ABS(Q2)+ABS(R2))/2</f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 x14ac:dyDescent="0.2">
      <c r="A3" s="1">
        <v>2.1273544423575399</v>
      </c>
      <c r="B3" s="1">
        <v>7.0678406813370703E-2</v>
      </c>
      <c r="C3" s="1">
        <v>2.2134652294850001</v>
      </c>
      <c r="D3" s="1">
        <v>-8.6110787127454902E-2</v>
      </c>
      <c r="E3" s="1">
        <v>4.7151927675484397E-4</v>
      </c>
      <c r="F3" s="1">
        <v>1.9744227439326401</v>
      </c>
      <c r="G3" s="1">
        <v>-0.152931698424907</v>
      </c>
      <c r="H3" s="1">
        <v>9.2976644288625295E-6</v>
      </c>
      <c r="I3" s="1">
        <v>-3.3410455648726398E-2</v>
      </c>
      <c r="K3" s="6" t="s">
        <v>32</v>
      </c>
      <c r="L3" s="5">
        <f t="shared" ref="L3:L23" si="0">E3</f>
        <v>4.7151927675484397E-4</v>
      </c>
      <c r="M3" s="11">
        <f t="shared" ref="M3:M23" si="1">D3/A3</f>
        <v>-4.047787496663071E-2</v>
      </c>
      <c r="N3" s="3">
        <f t="shared" ref="N3:N23" si="2">G3/A3</f>
        <v>-7.188820789798793E-2</v>
      </c>
      <c r="O3" s="5">
        <f t="shared" ref="O3:O23" si="3">H3</f>
        <v>9.2976644288625295E-6</v>
      </c>
      <c r="Q3">
        <v>-4.047787496663071E-2</v>
      </c>
      <c r="R3">
        <v>-7.188820789798793E-2</v>
      </c>
      <c r="S3">
        <f t="shared" ref="S3:S48" si="4">(ABS(Q3)+ABS(R3))/2</f>
        <v>5.6183041432309316E-2</v>
      </c>
      <c r="U3">
        <v>5.6183041432309316E-2</v>
      </c>
      <c r="V3">
        <v>5.6183041432309316E-2</v>
      </c>
      <c r="W3">
        <v>0.40275115375791348</v>
      </c>
      <c r="X3">
        <v>8.3022963374227404E-2</v>
      </c>
      <c r="Y3">
        <v>0</v>
      </c>
    </row>
    <row r="4" spans="1:25" x14ac:dyDescent="0.2">
      <c r="A4" s="1">
        <v>2.1273544423575399</v>
      </c>
      <c r="B4" s="1">
        <v>7.0678406813370703E-2</v>
      </c>
      <c r="C4" s="1">
        <v>2.0803976577560501</v>
      </c>
      <c r="D4" s="1">
        <v>4.6956784601491899E-2</v>
      </c>
      <c r="E4" s="1">
        <v>0.17007567224848899</v>
      </c>
      <c r="F4" s="1">
        <v>2.0906742167924</v>
      </c>
      <c r="G4" s="1">
        <v>-3.6680225565141202E-2</v>
      </c>
      <c r="H4" s="1">
        <v>0.15027543959965201</v>
      </c>
      <c r="I4" s="1">
        <v>-4.1818505083316602E-2</v>
      </c>
      <c r="K4" s="6" t="s">
        <v>6</v>
      </c>
      <c r="L4" s="3">
        <f t="shared" si="0"/>
        <v>0.17007567224848899</v>
      </c>
      <c r="M4" s="11">
        <f t="shared" si="1"/>
        <v>2.2072854276908489E-2</v>
      </c>
      <c r="N4" s="3">
        <f t="shared" si="2"/>
        <v>-1.7242178752541151E-2</v>
      </c>
      <c r="O4" s="3">
        <f t="shared" si="3"/>
        <v>0.15027543959965201</v>
      </c>
      <c r="Q4">
        <v>0</v>
      </c>
      <c r="R4">
        <v>0</v>
      </c>
      <c r="S4">
        <f t="shared" si="4"/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 x14ac:dyDescent="0.2">
      <c r="A5" s="1">
        <v>2.1273544423575399</v>
      </c>
      <c r="B5" s="1">
        <v>7.0678406813370703E-2</v>
      </c>
      <c r="C5" s="1">
        <v>2.1022333931460602</v>
      </c>
      <c r="D5" s="1">
        <v>2.5121049211482799E-2</v>
      </c>
      <c r="E5" s="1">
        <v>0.36472440469603601</v>
      </c>
      <c r="F5" s="1">
        <v>2.11992633556441</v>
      </c>
      <c r="G5" s="1">
        <v>-7.4281067931289899E-3</v>
      </c>
      <c r="H5" s="1">
        <v>0.750741661131611</v>
      </c>
      <c r="I5" s="1">
        <v>-1.62745780023059E-2</v>
      </c>
      <c r="K5" s="6" t="s">
        <v>7</v>
      </c>
      <c r="L5" s="3">
        <f t="shared" si="0"/>
        <v>0.36472440469603601</v>
      </c>
      <c r="M5" s="11">
        <f t="shared" si="1"/>
        <v>1.1808586623507639E-2</v>
      </c>
      <c r="N5" s="3">
        <f t="shared" si="2"/>
        <v>-3.4917109463419465E-3</v>
      </c>
      <c r="O5" s="3">
        <f t="shared" si="3"/>
        <v>0.750741661131611</v>
      </c>
      <c r="Q5">
        <v>0</v>
      </c>
      <c r="R5">
        <v>0</v>
      </c>
      <c r="S5">
        <f t="shared" si="4"/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2">
      <c r="A6" s="1">
        <v>2.1273544423575399</v>
      </c>
      <c r="B6" s="1">
        <v>7.0678406813370703E-2</v>
      </c>
      <c r="C6" s="1">
        <v>2.0763826359132902</v>
      </c>
      <c r="D6" s="1">
        <v>5.0971806444249201E-2</v>
      </c>
      <c r="E6" s="1">
        <v>6.4671610377092098E-2</v>
      </c>
      <c r="F6" s="1">
        <v>2.1480204948419002</v>
      </c>
      <c r="G6" s="1">
        <v>2.06660524843598E-2</v>
      </c>
      <c r="H6" s="1">
        <v>0.44726831515129201</v>
      </c>
      <c r="I6" s="1">
        <v>-1.5152876979944699E-2</v>
      </c>
      <c r="K6" s="6" t="s">
        <v>8</v>
      </c>
      <c r="L6" s="3">
        <f t="shared" si="0"/>
        <v>6.4671610377092098E-2</v>
      </c>
      <c r="M6" s="11">
        <f t="shared" si="1"/>
        <v>2.3960185209081619E-2</v>
      </c>
      <c r="N6" s="3">
        <f t="shared" si="2"/>
        <v>9.7144378355012734E-3</v>
      </c>
      <c r="O6" s="3">
        <f t="shared" si="3"/>
        <v>0.44726831515129201</v>
      </c>
      <c r="Q6">
        <v>0</v>
      </c>
      <c r="R6">
        <v>0</v>
      </c>
      <c r="S6">
        <f t="shared" si="4"/>
        <v>0</v>
      </c>
      <c r="U6">
        <v>0</v>
      </c>
      <c r="V6">
        <v>0</v>
      </c>
      <c r="W6">
        <v>0</v>
      </c>
      <c r="X6">
        <v>0.17766016435571394</v>
      </c>
      <c r="Y6">
        <v>0.17898838326002942</v>
      </c>
    </row>
    <row r="7" spans="1:25" x14ac:dyDescent="0.2">
      <c r="A7" s="1">
        <v>2.1273544423575399</v>
      </c>
      <c r="B7" s="1">
        <v>7.0678406813370703E-2</v>
      </c>
      <c r="C7" s="1">
        <v>2.1097001419183501</v>
      </c>
      <c r="D7" s="1">
        <v>1.7654300439191101E-2</v>
      </c>
      <c r="E7" s="1">
        <v>0.51263094827648903</v>
      </c>
      <c r="F7" s="1">
        <v>2.1243702749650399</v>
      </c>
      <c r="G7" s="1">
        <v>-2.9841673925026201E-3</v>
      </c>
      <c r="H7" s="1">
        <v>0.90461861242624497</v>
      </c>
      <c r="I7" s="1">
        <v>-1.03192339158468E-2</v>
      </c>
      <c r="K7" s="6" t="s">
        <v>9</v>
      </c>
      <c r="L7" s="3">
        <f t="shared" si="0"/>
        <v>0.51263094827648903</v>
      </c>
      <c r="M7" s="11">
        <f t="shared" si="1"/>
        <v>8.2987113419739113E-3</v>
      </c>
      <c r="N7" s="3">
        <f t="shared" si="2"/>
        <v>-1.4027598472004306E-3</v>
      </c>
      <c r="O7" s="3">
        <f t="shared" si="3"/>
        <v>0.90461861242624497</v>
      </c>
      <c r="Q7">
        <v>0</v>
      </c>
      <c r="R7">
        <v>0</v>
      </c>
      <c r="S7">
        <f t="shared" si="4"/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2">
      <c r="A8" s="1">
        <v>2.1273544423575399</v>
      </c>
      <c r="B8" s="1">
        <v>7.0678406813370703E-2</v>
      </c>
      <c r="C8" s="1">
        <v>2.0818553821816601</v>
      </c>
      <c r="D8" s="1">
        <v>4.54990601758824E-2</v>
      </c>
      <c r="E8" s="1">
        <v>0.104127944226121</v>
      </c>
      <c r="F8" s="1">
        <v>2.07478683556484</v>
      </c>
      <c r="G8" s="1">
        <v>-5.2567606792703003E-2</v>
      </c>
      <c r="H8" s="1">
        <v>7.7595318571229699E-2</v>
      </c>
      <c r="I8" s="1">
        <v>-4.9033333484292702E-2</v>
      </c>
      <c r="K8" s="6" t="s">
        <v>10</v>
      </c>
      <c r="L8" s="3">
        <f t="shared" si="0"/>
        <v>0.104127944226121</v>
      </c>
      <c r="M8" s="11">
        <f t="shared" si="1"/>
        <v>2.1387625526783499E-2</v>
      </c>
      <c r="N8" s="3">
        <f t="shared" si="2"/>
        <v>-2.4710318951104097E-2</v>
      </c>
      <c r="O8" s="3">
        <f t="shared" si="3"/>
        <v>7.7595318571229699E-2</v>
      </c>
      <c r="Q8">
        <v>0</v>
      </c>
      <c r="R8">
        <v>0</v>
      </c>
      <c r="S8">
        <f t="shared" si="4"/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 x14ac:dyDescent="0.2">
      <c r="A9" s="1">
        <v>2.1273544423575399</v>
      </c>
      <c r="B9" s="1">
        <v>7.0678406813370703E-2</v>
      </c>
      <c r="C9" s="1">
        <v>2.0716726415359998</v>
      </c>
      <c r="D9" s="1">
        <v>5.5681800821544898E-2</v>
      </c>
      <c r="E9" s="1">
        <v>4.4574588818944098E-2</v>
      </c>
      <c r="F9" s="1">
        <v>2.1019939265718599</v>
      </c>
      <c r="G9" s="1">
        <v>-2.53605157856799E-2</v>
      </c>
      <c r="H9" s="1">
        <v>0.29395036208648101</v>
      </c>
      <c r="I9" s="1">
        <v>-4.0521158303612401E-2</v>
      </c>
      <c r="K9" s="6" t="s">
        <v>11</v>
      </c>
      <c r="L9" s="3">
        <f t="shared" si="0"/>
        <v>4.4574588818944098E-2</v>
      </c>
      <c r="M9" s="11">
        <f t="shared" si="1"/>
        <v>2.6174200082915274E-2</v>
      </c>
      <c r="N9" s="3">
        <f t="shared" si="2"/>
        <v>-1.1921152056624522E-2</v>
      </c>
      <c r="O9" s="3">
        <f t="shared" si="3"/>
        <v>0.29395036208648101</v>
      </c>
      <c r="Q9">
        <v>0</v>
      </c>
      <c r="R9">
        <v>0</v>
      </c>
      <c r="S9">
        <f t="shared" si="4"/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x14ac:dyDescent="0.2">
      <c r="A10" s="1">
        <v>2.1273544423575399</v>
      </c>
      <c r="B10" s="1">
        <v>7.0678406813370703E-2</v>
      </c>
      <c r="C10" s="1">
        <v>2.0818448628453101</v>
      </c>
      <c r="D10" s="1">
        <v>4.55095795122306E-2</v>
      </c>
      <c r="E10" s="1">
        <v>3.9515481671136402E-2</v>
      </c>
      <c r="F10" s="1">
        <v>2.07405270683623</v>
      </c>
      <c r="G10" s="1">
        <v>-5.3301735521311601E-2</v>
      </c>
      <c r="H10" s="1">
        <v>9.0563875952171996E-2</v>
      </c>
      <c r="I10" s="1">
        <v>-4.9405657516771097E-2</v>
      </c>
      <c r="K10" s="6" t="s">
        <v>12</v>
      </c>
      <c r="L10" s="3">
        <f t="shared" si="0"/>
        <v>3.9515481671136402E-2</v>
      </c>
      <c r="M10" s="11">
        <f t="shared" si="1"/>
        <v>2.139257032401087E-2</v>
      </c>
      <c r="N10" s="3">
        <f t="shared" si="2"/>
        <v>-2.5055408943627878E-2</v>
      </c>
      <c r="O10" s="3">
        <f t="shared" si="3"/>
        <v>9.0563875952171996E-2</v>
      </c>
      <c r="Q10">
        <v>0</v>
      </c>
      <c r="R10">
        <v>0</v>
      </c>
      <c r="S10">
        <f t="shared" si="4"/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2">
      <c r="A11" s="1">
        <v>2.1273544423575399</v>
      </c>
      <c r="B11" s="1">
        <v>7.0678406813370703E-2</v>
      </c>
      <c r="C11" s="1">
        <v>2.13591534943341</v>
      </c>
      <c r="D11" s="1">
        <v>-8.5609070758629804E-3</v>
      </c>
      <c r="E11" s="1">
        <v>0.73276350169773796</v>
      </c>
      <c r="F11" s="1">
        <v>2.1013180132656402</v>
      </c>
      <c r="G11" s="1">
        <v>-2.60364290919037E-2</v>
      </c>
      <c r="H11" s="1">
        <v>0.38617491471934201</v>
      </c>
      <c r="I11" s="1">
        <v>-8.7377610080203692E-3</v>
      </c>
      <c r="K11" s="6" t="s">
        <v>13</v>
      </c>
      <c r="L11" s="3">
        <f t="shared" si="0"/>
        <v>0.73276350169773796</v>
      </c>
      <c r="M11" s="11">
        <f t="shared" si="1"/>
        <v>-4.0242034450901189E-3</v>
      </c>
      <c r="N11" s="3">
        <f t="shared" si="2"/>
        <v>-1.223887687613074E-2</v>
      </c>
      <c r="O11" s="3">
        <f t="shared" si="3"/>
        <v>0.38617491471934201</v>
      </c>
      <c r="Q11">
        <v>0</v>
      </c>
      <c r="R11">
        <v>0</v>
      </c>
      <c r="S11">
        <f t="shared" si="4"/>
        <v>0</v>
      </c>
      <c r="U11">
        <v>0</v>
      </c>
      <c r="V11">
        <v>0</v>
      </c>
      <c r="W11">
        <v>0</v>
      </c>
      <c r="X11">
        <v>0</v>
      </c>
      <c r="Y11">
        <v>2.4830873039075967</v>
      </c>
    </row>
    <row r="12" spans="1:25" x14ac:dyDescent="0.2">
      <c r="A12" s="1">
        <v>2.1273544423575399</v>
      </c>
      <c r="B12" s="1">
        <v>7.0678406813370703E-2</v>
      </c>
      <c r="C12" s="1">
        <v>2.0456957810771201</v>
      </c>
      <c r="D12" s="1">
        <v>8.1658661280419306E-2</v>
      </c>
      <c r="E12" s="1">
        <v>3.9885354712455101E-3</v>
      </c>
      <c r="F12" s="1">
        <v>2.09428866241231</v>
      </c>
      <c r="G12" s="1">
        <v>-3.3065779945229801E-2</v>
      </c>
      <c r="H12" s="1">
        <v>0.206864882327086</v>
      </c>
      <c r="I12" s="1">
        <v>-5.7362220612824498E-2</v>
      </c>
      <c r="K12" s="6" t="s">
        <v>14</v>
      </c>
      <c r="L12" s="5">
        <f t="shared" si="0"/>
        <v>3.9885354712455101E-3</v>
      </c>
      <c r="M12" s="11">
        <f t="shared" si="1"/>
        <v>3.8385075685801073E-2</v>
      </c>
      <c r="N12" s="3">
        <f t="shared" si="2"/>
        <v>-1.5543145649291152E-2</v>
      </c>
      <c r="O12" s="3">
        <f t="shared" si="3"/>
        <v>0.206864882327086</v>
      </c>
      <c r="Q12">
        <v>3.8385075685801073E-2</v>
      </c>
      <c r="R12">
        <v>0</v>
      </c>
      <c r="S12">
        <f t="shared" si="4"/>
        <v>1.9192537842900537E-2</v>
      </c>
      <c r="U12">
        <v>1.9192537842900537E-2</v>
      </c>
      <c r="V12">
        <v>1.9192537842900537E-2</v>
      </c>
      <c r="W12">
        <v>0</v>
      </c>
      <c r="X12">
        <v>0</v>
      </c>
      <c r="Y12">
        <v>0</v>
      </c>
    </row>
    <row r="13" spans="1:25" x14ac:dyDescent="0.2">
      <c r="A13" s="1">
        <v>2.1273544423575399</v>
      </c>
      <c r="B13" s="1">
        <v>7.0678406813370703E-2</v>
      </c>
      <c r="C13" s="1">
        <v>2.12828952439527</v>
      </c>
      <c r="D13" s="1">
        <v>-9.3508203773051603E-4</v>
      </c>
      <c r="E13" s="1">
        <v>0.97334453917428299</v>
      </c>
      <c r="F13" s="1">
        <v>2.09526255425672</v>
      </c>
      <c r="G13" s="1">
        <v>-3.2091888100822002E-2</v>
      </c>
      <c r="H13" s="1">
        <v>0.14855996001905999</v>
      </c>
      <c r="I13" s="1">
        <v>-1.5578403031545699E-2</v>
      </c>
      <c r="K13" s="6" t="s">
        <v>15</v>
      </c>
      <c r="L13" s="3">
        <f t="shared" si="0"/>
        <v>0.97334453917428299</v>
      </c>
      <c r="M13" s="11">
        <f t="shared" si="1"/>
        <v>-4.3955159474706794E-4</v>
      </c>
      <c r="N13" s="3">
        <f t="shared" si="2"/>
        <v>-1.5085350829106637E-2</v>
      </c>
      <c r="O13" s="3">
        <f t="shared" si="3"/>
        <v>0.14855996001905999</v>
      </c>
      <c r="Q13">
        <v>0</v>
      </c>
      <c r="R13">
        <v>0</v>
      </c>
      <c r="S13">
        <f t="shared" si="4"/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 x14ac:dyDescent="0.2">
      <c r="A14" s="1">
        <v>2.1273544423575399</v>
      </c>
      <c r="B14" s="1">
        <v>7.0678406813370703E-2</v>
      </c>
      <c r="C14" s="1">
        <v>2.09187620327309</v>
      </c>
      <c r="D14" s="1">
        <v>3.5478239084456499E-2</v>
      </c>
      <c r="E14" s="1">
        <v>0.15683508370744001</v>
      </c>
      <c r="F14" s="1">
        <v>2.08086233880063</v>
      </c>
      <c r="G14" s="1">
        <v>-4.64921035569094E-2</v>
      </c>
      <c r="H14" s="1">
        <v>0.105593287205952</v>
      </c>
      <c r="I14" s="1">
        <v>-4.0985171320683002E-2</v>
      </c>
      <c r="K14" s="6" t="s">
        <v>16</v>
      </c>
      <c r="L14" s="3">
        <f t="shared" si="0"/>
        <v>0.15683508370744001</v>
      </c>
      <c r="M14" s="11">
        <f t="shared" si="1"/>
        <v>1.6677164076682689E-2</v>
      </c>
      <c r="N14" s="3">
        <f t="shared" si="2"/>
        <v>-2.1854422860248301E-2</v>
      </c>
      <c r="O14" s="3">
        <f t="shared" si="3"/>
        <v>0.105593287205952</v>
      </c>
      <c r="Q14">
        <v>0</v>
      </c>
      <c r="R14">
        <v>0</v>
      </c>
      <c r="S14">
        <f t="shared" si="4"/>
        <v>0</v>
      </c>
      <c r="U14">
        <v>0</v>
      </c>
      <c r="V14">
        <v>0</v>
      </c>
      <c r="W14">
        <v>0.2866640708759175</v>
      </c>
      <c r="X14">
        <v>0.83835722256251521</v>
      </c>
      <c r="Y14">
        <v>0.80811939146533018</v>
      </c>
    </row>
    <row r="15" spans="1:25" x14ac:dyDescent="0.2">
      <c r="A15" s="1">
        <v>2.1273544423575399</v>
      </c>
      <c r="B15" s="1">
        <v>7.0678406813370703E-2</v>
      </c>
      <c r="C15" s="1">
        <v>1.78040402089892</v>
      </c>
      <c r="D15" s="1">
        <v>0.34695042145861998</v>
      </c>
      <c r="E15" s="1">
        <v>2.3078941865865298E-12</v>
      </c>
      <c r="F15" s="1">
        <v>2.4598052955298</v>
      </c>
      <c r="G15" s="1">
        <v>0.33245085317225997</v>
      </c>
      <c r="H15" s="1">
        <v>6.3342243383228598E-12</v>
      </c>
      <c r="I15" s="1">
        <v>-7.2497841431800004E-3</v>
      </c>
      <c r="K15" s="6" t="s">
        <v>17</v>
      </c>
      <c r="L15" s="5">
        <f t="shared" si="0"/>
        <v>2.3078941865865298E-12</v>
      </c>
      <c r="M15" s="11">
        <f t="shared" si="1"/>
        <v>0.16309008717613066</v>
      </c>
      <c r="N15" s="3">
        <f t="shared" si="2"/>
        <v>0.15627431261705363</v>
      </c>
      <c r="O15" s="5">
        <f t="shared" si="3"/>
        <v>6.3342243383228598E-12</v>
      </c>
      <c r="Q15">
        <v>0.16309008717613066</v>
      </c>
      <c r="R15">
        <v>0.15627431261705363</v>
      </c>
      <c r="S15">
        <f t="shared" si="4"/>
        <v>0.15968219989659216</v>
      </c>
      <c r="U15">
        <v>0.15968219989659216</v>
      </c>
      <c r="V15">
        <v>0.15968219989659216</v>
      </c>
      <c r="W15">
        <v>0.47400912838517706</v>
      </c>
      <c r="X15">
        <v>1.0683749468151134</v>
      </c>
      <c r="Y15">
        <v>1.0275677868816879</v>
      </c>
    </row>
    <row r="16" spans="1:25" x14ac:dyDescent="0.2">
      <c r="A16" s="1">
        <v>2.1273544423575399</v>
      </c>
      <c r="B16" s="1">
        <v>7.0678406813370703E-2</v>
      </c>
      <c r="C16" s="1">
        <v>2.0889012686978701</v>
      </c>
      <c r="D16" s="1">
        <v>3.8453173659671103E-2</v>
      </c>
      <c r="E16" s="1">
        <v>0.22918681336866001</v>
      </c>
      <c r="F16" s="1">
        <v>2.081705421234</v>
      </c>
      <c r="G16" s="1">
        <v>-4.5649021123539801E-2</v>
      </c>
      <c r="H16" s="1">
        <v>8.8266835249317402E-2</v>
      </c>
      <c r="I16" s="1">
        <v>-4.2051097391605501E-2</v>
      </c>
      <c r="K16" s="6" t="s">
        <v>18</v>
      </c>
      <c r="L16" s="3">
        <f t="shared" si="0"/>
        <v>0.22918681336866001</v>
      </c>
      <c r="M16" s="11">
        <f t="shared" si="1"/>
        <v>1.8075583877342597E-2</v>
      </c>
      <c r="N16" s="3">
        <f t="shared" si="2"/>
        <v>-2.1458117281552495E-2</v>
      </c>
      <c r="O16" s="3">
        <f t="shared" si="3"/>
        <v>8.8266835249317402E-2</v>
      </c>
      <c r="Q16">
        <v>0</v>
      </c>
      <c r="R16">
        <v>0</v>
      </c>
      <c r="S16">
        <f t="shared" si="4"/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2">
      <c r="A17" s="1">
        <v>2.1273544423575399</v>
      </c>
      <c r="B17" s="1">
        <v>7.0678406813370703E-2</v>
      </c>
      <c r="C17" s="1">
        <v>2.0630518390415999</v>
      </c>
      <c r="D17" s="1">
        <v>6.4302603315944298E-2</v>
      </c>
      <c r="E17" s="1">
        <v>1.59281383842385E-2</v>
      </c>
      <c r="F17" s="1">
        <v>2.06169705897603</v>
      </c>
      <c r="G17" s="1">
        <v>-6.5657383381517401E-2</v>
      </c>
      <c r="H17" s="1">
        <v>1.9062743806829398E-2</v>
      </c>
      <c r="I17" s="1">
        <v>-6.4979993348730905E-2</v>
      </c>
      <c r="K17" s="6" t="s">
        <v>19</v>
      </c>
      <c r="L17" s="3">
        <f t="shared" si="0"/>
        <v>1.59281383842385E-2</v>
      </c>
      <c r="M17" s="11">
        <f t="shared" si="1"/>
        <v>3.022655841246839E-2</v>
      </c>
      <c r="N17" s="3">
        <f t="shared" si="2"/>
        <v>-3.0863396373551986E-2</v>
      </c>
      <c r="O17" s="3">
        <f t="shared" si="3"/>
        <v>1.9062743806829398E-2</v>
      </c>
      <c r="Q17">
        <v>0</v>
      </c>
      <c r="R17">
        <v>0</v>
      </c>
      <c r="S17">
        <f t="shared" si="4"/>
        <v>0</v>
      </c>
      <c r="U17">
        <v>0</v>
      </c>
      <c r="V17">
        <v>0</v>
      </c>
      <c r="W17">
        <v>0.22744008009428654</v>
      </c>
      <c r="X17">
        <v>0</v>
      </c>
      <c r="Y17">
        <v>0</v>
      </c>
    </row>
    <row r="18" spans="1:25" x14ac:dyDescent="0.2">
      <c r="A18" s="1">
        <v>2.1273544423575399</v>
      </c>
      <c r="B18" s="1">
        <v>7.0678406813370703E-2</v>
      </c>
      <c r="C18" s="1">
        <v>2.1152659438644998</v>
      </c>
      <c r="D18" s="1">
        <v>1.2088498493040899E-2</v>
      </c>
      <c r="E18" s="1">
        <v>0.69178380683613006</v>
      </c>
      <c r="F18" s="1">
        <v>2.07384397422295</v>
      </c>
      <c r="G18" s="1">
        <v>-5.3510468134588499E-2</v>
      </c>
      <c r="H18" s="1">
        <v>4.3088266596671497E-2</v>
      </c>
      <c r="I18" s="1">
        <v>-3.2799483313814701E-2</v>
      </c>
      <c r="K18" s="6" t="s">
        <v>20</v>
      </c>
      <c r="L18" s="3">
        <f t="shared" si="0"/>
        <v>0.69178380683613006</v>
      </c>
      <c r="M18" s="11">
        <f t="shared" si="1"/>
        <v>5.6824092179225162E-3</v>
      </c>
      <c r="N18" s="3">
        <f t="shared" si="2"/>
        <v>-2.5153527343232965E-2</v>
      </c>
      <c r="O18" s="3">
        <f t="shared" si="3"/>
        <v>4.3088266596671497E-2</v>
      </c>
      <c r="Q18">
        <v>0</v>
      </c>
      <c r="R18">
        <v>0</v>
      </c>
      <c r="S18">
        <f t="shared" si="4"/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2">
      <c r="A19" s="1">
        <v>2.1273544423575399</v>
      </c>
      <c r="B19" s="1">
        <v>7.0678406813370703E-2</v>
      </c>
      <c r="C19" s="1">
        <v>2.0416038244692301</v>
      </c>
      <c r="D19" s="1">
        <v>8.5750617888315603E-2</v>
      </c>
      <c r="E19" s="1">
        <v>3.2418693833679499E-3</v>
      </c>
      <c r="F19" s="1">
        <v>2.1427153059353201</v>
      </c>
      <c r="G19" s="1">
        <v>1.5360863577771699E-2</v>
      </c>
      <c r="H19" s="1">
        <v>0.65048838063175096</v>
      </c>
      <c r="I19" s="1">
        <v>-3.5194877155271899E-2</v>
      </c>
      <c r="K19" s="6" t="s">
        <v>21</v>
      </c>
      <c r="L19" s="5">
        <f t="shared" si="0"/>
        <v>3.2418693833679499E-3</v>
      </c>
      <c r="M19" s="11">
        <f t="shared" si="1"/>
        <v>4.0308571144019867E-2</v>
      </c>
      <c r="N19" s="3">
        <f t="shared" si="2"/>
        <v>7.2206414088424068E-3</v>
      </c>
      <c r="O19" s="3">
        <f t="shared" si="3"/>
        <v>0.65048838063175096</v>
      </c>
      <c r="Q19">
        <v>4.0308571144019867E-2</v>
      </c>
      <c r="R19">
        <v>0</v>
      </c>
      <c r="S19">
        <f t="shared" si="4"/>
        <v>2.0154285572009933E-2</v>
      </c>
      <c r="U19">
        <v>2.0154285572009933E-2</v>
      </c>
      <c r="V19">
        <v>2.0154285572009933E-2</v>
      </c>
      <c r="W19">
        <v>0</v>
      </c>
      <c r="X19">
        <v>0</v>
      </c>
      <c r="Y19">
        <v>0</v>
      </c>
    </row>
    <row r="20" spans="1:25" x14ac:dyDescent="0.2">
      <c r="A20" s="1">
        <v>2.1273544423575399</v>
      </c>
      <c r="B20" s="1">
        <v>7.0678406813370703E-2</v>
      </c>
      <c r="C20" s="1">
        <v>2.07713491404136</v>
      </c>
      <c r="D20" s="1">
        <v>5.0219528316182101E-2</v>
      </c>
      <c r="E20" s="1">
        <v>0.127110764446521</v>
      </c>
      <c r="F20" s="1">
        <v>2.08831176748589</v>
      </c>
      <c r="G20" s="1">
        <v>-3.9042674871651202E-2</v>
      </c>
      <c r="H20" s="1">
        <v>0.14483773930903099</v>
      </c>
      <c r="I20" s="1">
        <v>-4.4631101593916603E-2</v>
      </c>
      <c r="K20" s="6" t="s">
        <v>22</v>
      </c>
      <c r="L20" s="3">
        <f t="shared" si="0"/>
        <v>0.127110764446521</v>
      </c>
      <c r="M20" s="11">
        <f t="shared" si="1"/>
        <v>2.3606563775300501E-2</v>
      </c>
      <c r="N20" s="3">
        <f t="shared" si="2"/>
        <v>-1.8352689187225428E-2</v>
      </c>
      <c r="O20" s="3">
        <f t="shared" si="3"/>
        <v>0.14483773930903099</v>
      </c>
      <c r="Q20">
        <v>0</v>
      </c>
      <c r="R20">
        <v>0</v>
      </c>
      <c r="S20">
        <f t="shared" si="4"/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2">
      <c r="A21" s="1">
        <v>2.1273544423575399</v>
      </c>
      <c r="B21" s="1">
        <v>7.0678406813370703E-2</v>
      </c>
      <c r="C21" s="1">
        <v>2.0893259947176999</v>
      </c>
      <c r="D21" s="1">
        <v>3.8028447639842602E-2</v>
      </c>
      <c r="E21" s="1">
        <v>0.178028220638178</v>
      </c>
      <c r="F21" s="1">
        <v>2.06545274486413</v>
      </c>
      <c r="G21" s="1">
        <v>-6.1901697493412497E-2</v>
      </c>
      <c r="H21" s="1">
        <v>5.08907870178067E-2</v>
      </c>
      <c r="I21" s="1">
        <v>-4.9965072566627598E-2</v>
      </c>
      <c r="K21" s="6" t="s">
        <v>23</v>
      </c>
      <c r="L21" s="3">
        <f t="shared" si="0"/>
        <v>0.178028220638178</v>
      </c>
      <c r="M21" s="11">
        <f t="shared" si="1"/>
        <v>1.7875934015818905E-2</v>
      </c>
      <c r="N21" s="3">
        <f t="shared" si="2"/>
        <v>-2.9097970822771248E-2</v>
      </c>
      <c r="O21" s="3">
        <f t="shared" si="3"/>
        <v>5.08907870178067E-2</v>
      </c>
      <c r="Q21">
        <v>0</v>
      </c>
      <c r="R21">
        <v>0</v>
      </c>
      <c r="S21">
        <f t="shared" si="4"/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 x14ac:dyDescent="0.2">
      <c r="A22" s="1">
        <v>2.1273544423575399</v>
      </c>
      <c r="B22" s="1">
        <v>7.0678406813370703E-2</v>
      </c>
      <c r="C22" s="1">
        <v>1.8176440866736301</v>
      </c>
      <c r="D22" s="1">
        <v>0.30971035568391397</v>
      </c>
      <c r="E22" s="1">
        <v>3.7383951137677798E-12</v>
      </c>
      <c r="F22" s="1">
        <v>2.3656566191247101</v>
      </c>
      <c r="G22" s="1">
        <v>0.23830217676717</v>
      </c>
      <c r="H22" s="1">
        <v>5.3400442557138597E-11</v>
      </c>
      <c r="I22" s="1">
        <v>-3.5704089458372001E-2</v>
      </c>
      <c r="K22" s="6" t="s">
        <v>24</v>
      </c>
      <c r="L22" s="5">
        <f t="shared" si="0"/>
        <v>3.7383951137677798E-12</v>
      </c>
      <c r="M22" s="11">
        <f t="shared" si="1"/>
        <v>0.14558474578438943</v>
      </c>
      <c r="N22" s="3">
        <f t="shared" si="2"/>
        <v>0.11201808782888238</v>
      </c>
      <c r="O22" s="5">
        <f t="shared" si="3"/>
        <v>5.3400442557138597E-11</v>
      </c>
      <c r="Q22">
        <v>0.14558474578438943</v>
      </c>
      <c r="R22">
        <v>0.11201808782888238</v>
      </c>
      <c r="S22">
        <f t="shared" si="4"/>
        <v>0.1288014168066359</v>
      </c>
      <c r="U22">
        <v>0.1288014168066359</v>
      </c>
      <c r="V22">
        <v>0.1288014168066359</v>
      </c>
      <c r="W22">
        <v>0.24184874054349426</v>
      </c>
      <c r="X22">
        <v>8.2963192350706982E-2</v>
      </c>
      <c r="Y22">
        <v>0.30870065713368011</v>
      </c>
    </row>
    <row r="23" spans="1:25" x14ac:dyDescent="0.2">
      <c r="A23" s="1">
        <v>2.1273544423575399</v>
      </c>
      <c r="B23" s="1">
        <v>7.0678406813370703E-2</v>
      </c>
      <c r="C23" s="1">
        <v>2.1054305021880602</v>
      </c>
      <c r="D23" s="1">
        <v>2.1923940169483201E-2</v>
      </c>
      <c r="E23" s="1">
        <v>0.453690790674671</v>
      </c>
      <c r="F23" s="1">
        <v>2.1384699713429698</v>
      </c>
      <c r="G23" s="1">
        <v>1.11155289854298E-2</v>
      </c>
      <c r="H23" s="1">
        <v>0.75246368319371004</v>
      </c>
      <c r="I23" s="1">
        <v>-5.4042055920266998E-3</v>
      </c>
      <c r="K23" s="6" t="s">
        <v>25</v>
      </c>
      <c r="L23" s="3">
        <f t="shared" si="0"/>
        <v>0.453690790674671</v>
      </c>
      <c r="M23" s="11">
        <f t="shared" si="1"/>
        <v>1.0305729845933446E-2</v>
      </c>
      <c r="N23" s="3">
        <f t="shared" si="2"/>
        <v>5.2250479582102646E-3</v>
      </c>
      <c r="O23" s="3">
        <f t="shared" si="3"/>
        <v>0.75246368319371004</v>
      </c>
      <c r="Q23">
        <v>0</v>
      </c>
      <c r="R23">
        <v>0</v>
      </c>
      <c r="S23">
        <f t="shared" si="4"/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 ht="51" x14ac:dyDescent="0.2">
      <c r="L24" s="4" t="s">
        <v>1</v>
      </c>
      <c r="M24" s="12" t="s">
        <v>2</v>
      </c>
      <c r="N24" s="4" t="s">
        <v>3</v>
      </c>
      <c r="O24" s="4" t="s">
        <v>1</v>
      </c>
    </row>
    <row r="26" spans="1:25" ht="19" x14ac:dyDescent="0.25">
      <c r="L26" s="15" t="s">
        <v>26</v>
      </c>
      <c r="M26" s="16"/>
      <c r="N26" s="16"/>
      <c r="O26" s="16"/>
    </row>
    <row r="27" spans="1:25" x14ac:dyDescent="0.2">
      <c r="A27" s="1">
        <v>1.6678381499999899</v>
      </c>
      <c r="B27" s="1">
        <v>0.386865582076937</v>
      </c>
      <c r="C27" s="1">
        <v>1.82068019999999</v>
      </c>
      <c r="D27" s="1">
        <v>-0.15284205000000001</v>
      </c>
      <c r="E27" s="1">
        <v>0.67592612137490304</v>
      </c>
      <c r="F27" s="1">
        <v>1.7059259499999899</v>
      </c>
      <c r="G27" s="1">
        <v>3.8087799999999998E-2</v>
      </c>
      <c r="H27" s="1">
        <v>0.103400482508403</v>
      </c>
      <c r="I27" s="1">
        <v>9.5464925000000006E-2</v>
      </c>
      <c r="K27" s="6" t="s">
        <v>4</v>
      </c>
      <c r="L27" s="3">
        <f>E27</f>
        <v>0.67592612137490304</v>
      </c>
      <c r="M27" s="11">
        <f>D27/A27</f>
        <v>-9.1640816586430127E-2</v>
      </c>
      <c r="N27" s="3">
        <f>G27/A27</f>
        <v>2.2836628362290567E-2</v>
      </c>
      <c r="O27" s="3">
        <f>H27</f>
        <v>0.103400482508403</v>
      </c>
      <c r="Q27">
        <v>0</v>
      </c>
      <c r="R27">
        <v>0</v>
      </c>
      <c r="S27">
        <f t="shared" si="4"/>
        <v>0</v>
      </c>
    </row>
    <row r="28" spans="1:25" x14ac:dyDescent="0.2">
      <c r="A28" s="1">
        <v>1.6678381499999899</v>
      </c>
      <c r="B28" s="1">
        <v>0.386865582076937</v>
      </c>
      <c r="C28" s="1">
        <v>1.25674255</v>
      </c>
      <c r="D28" s="1">
        <v>0.41109559999999901</v>
      </c>
      <c r="E28" s="1">
        <v>7.9723419297201E-10</v>
      </c>
      <c r="F28" s="1">
        <v>2.6234774500000002</v>
      </c>
      <c r="G28" s="1">
        <v>0.95563929999999997</v>
      </c>
      <c r="H28" s="1">
        <v>1.89265829775394E-4</v>
      </c>
      <c r="I28" s="1">
        <v>0.27227184999999998</v>
      </c>
      <c r="K28" s="6" t="s">
        <v>5</v>
      </c>
      <c r="L28" s="5">
        <f t="shared" ref="L28:L64" si="5">E28</f>
        <v>7.9723419297201E-10</v>
      </c>
      <c r="M28" s="11">
        <f t="shared" ref="M28:M64" si="6">D28/A28</f>
        <v>0.24648410878477717</v>
      </c>
      <c r="N28" s="3">
        <f t="shared" ref="N28:N64" si="7">G28/A28</f>
        <v>0.57298083749913364</v>
      </c>
      <c r="O28" s="5">
        <f t="shared" ref="O28:O64" si="8">H28</f>
        <v>1.89265829775394E-4</v>
      </c>
      <c r="Q28">
        <v>0.24648410878477717</v>
      </c>
      <c r="R28">
        <v>0.57298083749913364</v>
      </c>
      <c r="S28">
        <f t="shared" si="4"/>
        <v>0.40973247314195538</v>
      </c>
    </row>
    <row r="29" spans="1:25" x14ac:dyDescent="0.2">
      <c r="A29" s="1">
        <v>1.6678381499999899</v>
      </c>
      <c r="B29" s="1">
        <v>0.386865582076937</v>
      </c>
      <c r="C29" s="1">
        <v>1.8322756499999899</v>
      </c>
      <c r="D29" s="1">
        <v>-0.16443749999999999</v>
      </c>
      <c r="E29" s="1">
        <v>0.247243816912075</v>
      </c>
      <c r="F29" s="1">
        <v>1.5518514000000001</v>
      </c>
      <c r="G29" s="1">
        <v>-0.115986749999999</v>
      </c>
      <c r="H29" s="1">
        <v>8.1190532840194105E-2</v>
      </c>
      <c r="I29" s="1">
        <v>2.4225375000000101E-2</v>
      </c>
      <c r="K29" s="6" t="s">
        <v>6</v>
      </c>
      <c r="L29" s="3">
        <f t="shared" si="5"/>
        <v>0.247243816912075</v>
      </c>
      <c r="M29" s="11">
        <f t="shared" si="6"/>
        <v>-9.8593199825775052E-2</v>
      </c>
      <c r="N29" s="3">
        <f>G29/A29</f>
        <v>-6.9543168802080529E-2</v>
      </c>
      <c r="O29" s="3">
        <f t="shared" si="8"/>
        <v>8.1190532840194105E-2</v>
      </c>
      <c r="Q29">
        <v>0</v>
      </c>
      <c r="R29">
        <v>0</v>
      </c>
      <c r="S29">
        <f t="shared" si="4"/>
        <v>0</v>
      </c>
    </row>
    <row r="30" spans="1:25" x14ac:dyDescent="0.2">
      <c r="A30" s="1">
        <v>1.6678381499999899</v>
      </c>
      <c r="B30" s="1">
        <v>0.386865582076937</v>
      </c>
      <c r="C30" s="1">
        <v>1.7164981500000001</v>
      </c>
      <c r="D30" s="1">
        <v>-4.8660000000000099E-2</v>
      </c>
      <c r="E30" s="1">
        <v>0.55168284527188005</v>
      </c>
      <c r="F30" s="1">
        <v>1.7229422000000001</v>
      </c>
      <c r="G30" s="1">
        <v>5.5104050000000099E-2</v>
      </c>
      <c r="H30" s="1">
        <v>0.60642475048114797</v>
      </c>
      <c r="I30" s="1">
        <v>5.1882025000000102E-2</v>
      </c>
      <c r="K30" s="6" t="s">
        <v>7</v>
      </c>
      <c r="L30" s="3">
        <f t="shared" si="5"/>
        <v>0.55168284527188005</v>
      </c>
      <c r="M30" s="11">
        <f t="shared" si="6"/>
        <v>-2.9175492837839448E-2</v>
      </c>
      <c r="N30" s="3">
        <f t="shared" si="7"/>
        <v>3.30392070717416E-2</v>
      </c>
      <c r="O30" s="3">
        <f t="shared" si="8"/>
        <v>0.60642475048114797</v>
      </c>
      <c r="Q30">
        <v>0</v>
      </c>
      <c r="R30">
        <v>0</v>
      </c>
      <c r="S30">
        <f t="shared" si="4"/>
        <v>0</v>
      </c>
    </row>
    <row r="31" spans="1:25" x14ac:dyDescent="0.2">
      <c r="A31" s="1">
        <v>1.6678381499999899</v>
      </c>
      <c r="B31" s="1">
        <v>0.386865582076937</v>
      </c>
      <c r="C31" s="1">
        <v>1.75354359999999</v>
      </c>
      <c r="D31" s="1">
        <v>-8.5705450000000002E-2</v>
      </c>
      <c r="E31" s="1">
        <v>0.30624748416775899</v>
      </c>
      <c r="F31" s="1">
        <v>1.76176719999999</v>
      </c>
      <c r="G31" s="1">
        <v>9.392905E-2</v>
      </c>
      <c r="H31" s="1">
        <v>0.35061399545751398</v>
      </c>
      <c r="I31" s="1">
        <v>8.9817250000000001E-2</v>
      </c>
      <c r="K31" s="6" t="s">
        <v>8</v>
      </c>
      <c r="L31" s="3">
        <f t="shared" si="5"/>
        <v>0.30624748416775899</v>
      </c>
      <c r="M31" s="11">
        <f t="shared" si="6"/>
        <v>-5.1387150485795355E-2</v>
      </c>
      <c r="N31" s="3">
        <f t="shared" si="7"/>
        <v>5.6317844750103943E-2</v>
      </c>
      <c r="O31" s="3">
        <f t="shared" si="8"/>
        <v>0.35061399545751398</v>
      </c>
      <c r="Q31">
        <v>0</v>
      </c>
      <c r="R31">
        <v>0</v>
      </c>
      <c r="S31">
        <f t="shared" si="4"/>
        <v>0</v>
      </c>
    </row>
    <row r="32" spans="1:25" x14ac:dyDescent="0.2">
      <c r="A32" s="1">
        <v>1.6678381499999899</v>
      </c>
      <c r="B32" s="1">
        <v>0.386865582076937</v>
      </c>
      <c r="C32" s="1">
        <v>1.7623549000000001</v>
      </c>
      <c r="D32" s="1">
        <v>-9.4516750000000094E-2</v>
      </c>
      <c r="E32" s="1">
        <v>0.62112678818330203</v>
      </c>
      <c r="F32" s="1">
        <v>1.7141164499999899</v>
      </c>
      <c r="G32" s="1">
        <v>4.6278299999999897E-2</v>
      </c>
      <c r="H32" s="1">
        <v>0.30493400560553602</v>
      </c>
      <c r="I32" s="1">
        <v>7.0397525000000002E-2</v>
      </c>
      <c r="K32" s="6" t="s">
        <v>9</v>
      </c>
      <c r="L32" s="3">
        <f t="shared" si="5"/>
        <v>0.62112678818330203</v>
      </c>
      <c r="M32" s="11">
        <f t="shared" si="6"/>
        <v>-5.6670217071123276E-2</v>
      </c>
      <c r="N32" s="3">
        <f t="shared" si="7"/>
        <v>2.7747476576189468E-2</v>
      </c>
      <c r="O32" s="3">
        <f t="shared" si="8"/>
        <v>0.30493400560553602</v>
      </c>
      <c r="Q32">
        <v>0</v>
      </c>
      <c r="R32">
        <v>0</v>
      </c>
      <c r="S32">
        <f t="shared" si="4"/>
        <v>0</v>
      </c>
    </row>
    <row r="33" spans="1:19" x14ac:dyDescent="0.2">
      <c r="A33" s="1">
        <v>1.6678381499999899</v>
      </c>
      <c r="B33" s="1">
        <v>0.386865582076937</v>
      </c>
      <c r="C33" s="1">
        <v>1.7733376000000001</v>
      </c>
      <c r="D33" s="1">
        <v>-0.10549944999999999</v>
      </c>
      <c r="E33" s="1">
        <v>0.42618840575197198</v>
      </c>
      <c r="F33" s="1">
        <v>1.74384424999999</v>
      </c>
      <c r="G33" s="1">
        <v>7.6006099999999993E-2</v>
      </c>
      <c r="H33" s="1">
        <v>0.25791339145331199</v>
      </c>
      <c r="I33" s="1">
        <v>9.0752775000000105E-2</v>
      </c>
      <c r="K33" s="6" t="s">
        <v>10</v>
      </c>
      <c r="L33" s="3">
        <f t="shared" si="5"/>
        <v>0.42618840575197198</v>
      </c>
      <c r="M33" s="11">
        <f t="shared" si="6"/>
        <v>-6.3255208546465158E-2</v>
      </c>
      <c r="N33" s="3">
        <f t="shared" si="7"/>
        <v>4.5571628158284097E-2</v>
      </c>
      <c r="O33" s="3">
        <f t="shared" si="8"/>
        <v>0.25791339145331199</v>
      </c>
      <c r="Q33">
        <v>0</v>
      </c>
      <c r="R33">
        <v>0</v>
      </c>
      <c r="S33">
        <f t="shared" si="4"/>
        <v>0</v>
      </c>
    </row>
    <row r="34" spans="1:19" x14ac:dyDescent="0.2">
      <c r="A34" s="1">
        <v>1.6678381499999899</v>
      </c>
      <c r="B34" s="1">
        <v>0.386865582076937</v>
      </c>
      <c r="C34" s="1">
        <v>1.7877843499999899</v>
      </c>
      <c r="D34" s="1">
        <v>-0.1199462</v>
      </c>
      <c r="E34" s="1">
        <v>0.36171443445235302</v>
      </c>
      <c r="F34" s="1">
        <v>1.7525854000000001</v>
      </c>
      <c r="G34" s="1">
        <v>8.4747250000000093E-2</v>
      </c>
      <c r="H34" s="1">
        <v>0.19518718499420201</v>
      </c>
      <c r="I34" s="1">
        <v>0.102346725</v>
      </c>
      <c r="K34" s="6" t="s">
        <v>11</v>
      </c>
      <c r="L34" s="3">
        <f t="shared" si="5"/>
        <v>0.36171443445235302</v>
      </c>
      <c r="M34" s="11">
        <f t="shared" si="6"/>
        <v>-7.191717014028054E-2</v>
      </c>
      <c r="N34" s="3">
        <f t="shared" si="7"/>
        <v>5.0812634307471988E-2</v>
      </c>
      <c r="O34" s="3">
        <f t="shared" si="8"/>
        <v>0.19518718499420201</v>
      </c>
      <c r="Q34">
        <v>0</v>
      </c>
      <c r="R34">
        <v>0</v>
      </c>
      <c r="S34">
        <f t="shared" si="4"/>
        <v>0</v>
      </c>
    </row>
    <row r="35" spans="1:19" x14ac:dyDescent="0.2">
      <c r="A35" s="1">
        <v>1.6678381499999899</v>
      </c>
      <c r="B35" s="1">
        <v>0.386865582076937</v>
      </c>
      <c r="C35" s="1">
        <v>1.7231743500000001</v>
      </c>
      <c r="D35" s="1">
        <v>-5.5336200000000099E-2</v>
      </c>
      <c r="E35" s="1">
        <v>0.305774784498557</v>
      </c>
      <c r="F35" s="1">
        <v>1.76174085</v>
      </c>
      <c r="G35" s="1">
        <v>9.3902700000000103E-2</v>
      </c>
      <c r="H35" s="1">
        <v>0.56344637029215705</v>
      </c>
      <c r="I35" s="1">
        <v>7.4619450000000101E-2</v>
      </c>
      <c r="K35" s="6" t="s">
        <v>12</v>
      </c>
      <c r="L35" s="3">
        <f t="shared" si="5"/>
        <v>0.305774784498557</v>
      </c>
      <c r="M35" s="11">
        <f t="shared" si="6"/>
        <v>-3.3178399234961999E-2</v>
      </c>
      <c r="N35" s="3">
        <f t="shared" si="7"/>
        <v>5.6302045854989387E-2</v>
      </c>
      <c r="O35" s="3">
        <f t="shared" si="8"/>
        <v>0.56344637029215705</v>
      </c>
      <c r="Q35">
        <v>0</v>
      </c>
      <c r="R35">
        <v>0</v>
      </c>
      <c r="S35">
        <f t="shared" si="4"/>
        <v>0</v>
      </c>
    </row>
    <row r="36" spans="1:19" x14ac:dyDescent="0.2">
      <c r="A36" s="1">
        <v>1.6678381499999899</v>
      </c>
      <c r="B36" s="1">
        <v>0.386865582076937</v>
      </c>
      <c r="C36" s="1">
        <v>1.7393159</v>
      </c>
      <c r="D36" s="1">
        <v>-7.1477750000000104E-2</v>
      </c>
      <c r="E36" s="1">
        <v>0.79163804343284805</v>
      </c>
      <c r="F36" s="1">
        <v>1.694918425</v>
      </c>
      <c r="G36" s="1">
        <v>2.7080275000000001E-2</v>
      </c>
      <c r="H36" s="1">
        <v>0.44676164630177401</v>
      </c>
      <c r="I36" s="1">
        <v>4.9279012500000101E-2</v>
      </c>
      <c r="K36" s="6" t="s">
        <v>13</v>
      </c>
      <c r="L36" s="3">
        <f t="shared" si="5"/>
        <v>0.79163804343284805</v>
      </c>
      <c r="M36" s="11">
        <f t="shared" si="6"/>
        <v>-4.2856526576035295E-2</v>
      </c>
      <c r="N36" s="3">
        <f t="shared" si="7"/>
        <v>1.623675234914141E-2</v>
      </c>
      <c r="O36" s="3">
        <f t="shared" si="8"/>
        <v>0.44676164630177401</v>
      </c>
      <c r="Q36">
        <v>0</v>
      </c>
      <c r="R36">
        <v>0</v>
      </c>
      <c r="S36">
        <f t="shared" si="4"/>
        <v>0</v>
      </c>
    </row>
    <row r="37" spans="1:19" x14ac:dyDescent="0.2">
      <c r="A37" s="1">
        <v>1.6678381499999899</v>
      </c>
      <c r="B37" s="1">
        <v>0.386865582076937</v>
      </c>
      <c r="C37" s="1">
        <v>1.7726445500000001</v>
      </c>
      <c r="D37" s="1">
        <v>-0.10480639999999999</v>
      </c>
      <c r="E37" s="1">
        <v>0.44511752430970403</v>
      </c>
      <c r="F37" s="1">
        <v>1.7393459499999899</v>
      </c>
      <c r="G37" s="1">
        <v>7.1507799999999996E-2</v>
      </c>
      <c r="H37" s="1">
        <v>0.25757226775667103</v>
      </c>
      <c r="I37" s="1">
        <v>8.8157100000000002E-2</v>
      </c>
      <c r="K37" s="6" t="s">
        <v>14</v>
      </c>
      <c r="L37" s="3">
        <f t="shared" si="5"/>
        <v>0.44511752430970403</v>
      </c>
      <c r="M37" s="11">
        <f t="shared" si="6"/>
        <v>-6.2839670623915531E-2</v>
      </c>
      <c r="N37" s="3">
        <f t="shared" si="7"/>
        <v>4.2874543911830071E-2</v>
      </c>
      <c r="O37" s="3">
        <f t="shared" si="8"/>
        <v>0.25757226775667103</v>
      </c>
      <c r="Q37">
        <v>0</v>
      </c>
      <c r="R37">
        <v>0</v>
      </c>
      <c r="S37">
        <f t="shared" si="4"/>
        <v>0</v>
      </c>
    </row>
    <row r="38" spans="1:19" x14ac:dyDescent="0.2">
      <c r="A38" s="1">
        <v>1.6678381499999899</v>
      </c>
      <c r="B38" s="1">
        <v>0.386865582076937</v>
      </c>
      <c r="C38" s="1">
        <v>1.7503112000000001</v>
      </c>
      <c r="D38" s="1">
        <v>-8.2473050000000103E-2</v>
      </c>
      <c r="E38" s="1">
        <v>0.25515520725757002</v>
      </c>
      <c r="F38" s="1">
        <v>1.7732389500000001</v>
      </c>
      <c r="G38" s="1">
        <v>0.1054008</v>
      </c>
      <c r="H38" s="1">
        <v>0.38596416531189798</v>
      </c>
      <c r="I38" s="1">
        <v>9.3936925000000102E-2</v>
      </c>
      <c r="K38" s="6" t="s">
        <v>15</v>
      </c>
      <c r="L38" s="3">
        <f t="shared" si="5"/>
        <v>0.25515520725757002</v>
      </c>
      <c r="M38" s="11">
        <f t="shared" si="6"/>
        <v>-4.9449072741261257E-2</v>
      </c>
      <c r="N38" s="3">
        <f t="shared" si="7"/>
        <v>6.3196060121301717E-2</v>
      </c>
      <c r="O38" s="3">
        <f t="shared" si="8"/>
        <v>0.38596416531189798</v>
      </c>
      <c r="Q38">
        <v>0</v>
      </c>
      <c r="R38">
        <v>0</v>
      </c>
      <c r="S38">
        <f t="shared" si="4"/>
        <v>0</v>
      </c>
    </row>
    <row r="39" spans="1:19" x14ac:dyDescent="0.2">
      <c r="A39" s="1">
        <v>1.6678381499999899</v>
      </c>
      <c r="B39" s="1">
        <v>0.386865582076937</v>
      </c>
      <c r="C39" s="1">
        <v>1.3926548000000001</v>
      </c>
      <c r="D39" s="1">
        <v>0.27518334999999899</v>
      </c>
      <c r="E39" s="1">
        <v>6.7222411370586602E-8</v>
      </c>
      <c r="F39" s="1">
        <v>2.4083117999999901</v>
      </c>
      <c r="G39" s="1">
        <v>0.74047364999999898</v>
      </c>
      <c r="H39" s="1">
        <v>5.9896560855099796E-3</v>
      </c>
      <c r="I39" s="1">
        <v>0.23264515</v>
      </c>
      <c r="K39" s="6" t="s">
        <v>16</v>
      </c>
      <c r="L39" s="5">
        <f t="shared" si="5"/>
        <v>6.7222411370586602E-8</v>
      </c>
      <c r="M39" s="11">
        <f t="shared" si="6"/>
        <v>0.16499403734109372</v>
      </c>
      <c r="N39" s="3">
        <f t="shared" si="7"/>
        <v>0.44397212643205425</v>
      </c>
      <c r="O39" s="5">
        <f t="shared" si="8"/>
        <v>5.9896560855099796E-3</v>
      </c>
      <c r="Q39">
        <v>0.16499403734109372</v>
      </c>
      <c r="R39">
        <v>0.44397212643205425</v>
      </c>
      <c r="S39">
        <f t="shared" si="4"/>
        <v>0.30448308188657397</v>
      </c>
    </row>
    <row r="40" spans="1:19" x14ac:dyDescent="0.2">
      <c r="A40" s="1">
        <v>1.6678381499999899</v>
      </c>
      <c r="B40" s="1">
        <v>0.386865582076937</v>
      </c>
      <c r="C40" s="1">
        <v>2.40989044999999</v>
      </c>
      <c r="D40" s="1">
        <v>-0.742052299999999</v>
      </c>
      <c r="E40" s="1">
        <v>2.7022713809768101E-6</v>
      </c>
      <c r="F40" s="1">
        <v>1.08578649999999</v>
      </c>
      <c r="G40" s="1">
        <v>-0.58205164999999903</v>
      </c>
      <c r="H40" s="1">
        <v>4.3111725946224599E-8</v>
      </c>
      <c r="I40" s="1">
        <v>8.0000324999999803E-2</v>
      </c>
      <c r="K40" s="6" t="s">
        <v>17</v>
      </c>
      <c r="L40" s="5">
        <f t="shared" si="5"/>
        <v>2.7022713809768101E-6</v>
      </c>
      <c r="M40" s="11">
        <f t="shared" si="6"/>
        <v>-0.44491865112930978</v>
      </c>
      <c r="N40" s="3">
        <f t="shared" si="7"/>
        <v>-0.3489856914473401</v>
      </c>
      <c r="O40" s="5">
        <f t="shared" si="8"/>
        <v>4.3111725946224599E-8</v>
      </c>
      <c r="Q40">
        <v>-0.44491865112930978</v>
      </c>
      <c r="R40">
        <v>-0.3489856914473401</v>
      </c>
      <c r="S40">
        <f t="shared" si="4"/>
        <v>0.39695217128832494</v>
      </c>
    </row>
    <row r="41" spans="1:19" x14ac:dyDescent="0.2">
      <c r="A41" s="1">
        <v>1.6678381499999899</v>
      </c>
      <c r="B41" s="1">
        <v>0.386865582076937</v>
      </c>
      <c r="C41" s="1">
        <v>1.7414557500000001</v>
      </c>
      <c r="D41" s="1">
        <v>-7.3617600000000102E-2</v>
      </c>
      <c r="E41" s="1">
        <v>0.48906916517565202</v>
      </c>
      <c r="F41" s="1">
        <v>1.73495065</v>
      </c>
      <c r="G41" s="1">
        <v>6.7112500000000103E-2</v>
      </c>
      <c r="H41" s="1">
        <v>0.420556698033972</v>
      </c>
      <c r="I41" s="1">
        <v>7.0365050000000096E-2</v>
      </c>
      <c r="K41" s="6" t="s">
        <v>18</v>
      </c>
      <c r="L41" s="3">
        <f t="shared" si="5"/>
        <v>0.48906916517565202</v>
      </c>
      <c r="M41" s="11">
        <f t="shared" si="6"/>
        <v>-4.4139534762411177E-2</v>
      </c>
      <c r="N41" s="3">
        <f t="shared" si="7"/>
        <v>4.0239216257285222E-2</v>
      </c>
      <c r="O41" s="3">
        <f t="shared" si="8"/>
        <v>0.420556698033972</v>
      </c>
      <c r="Q41">
        <v>0</v>
      </c>
      <c r="R41">
        <v>0</v>
      </c>
      <c r="S41">
        <f t="shared" si="4"/>
        <v>0</v>
      </c>
    </row>
    <row r="42" spans="1:19" x14ac:dyDescent="0.2">
      <c r="A42" s="1">
        <v>1.6678381499999899</v>
      </c>
      <c r="B42" s="1">
        <v>0.386865582076937</v>
      </c>
      <c r="C42" s="1">
        <v>2.1432281500000001</v>
      </c>
      <c r="D42" s="1">
        <v>-0.47538999999999998</v>
      </c>
      <c r="E42" s="1">
        <v>1.4804149914424199E-3</v>
      </c>
      <c r="F42" s="1">
        <v>1.3350563600000001</v>
      </c>
      <c r="G42" s="1">
        <v>-0.33278178999999902</v>
      </c>
      <c r="H42" s="1">
        <v>3.5615596244339502E-5</v>
      </c>
      <c r="I42" s="1">
        <v>7.1304105000000007E-2</v>
      </c>
      <c r="K42" s="6" t="s">
        <v>19</v>
      </c>
      <c r="L42" s="5">
        <f t="shared" si="5"/>
        <v>1.4804149914424199E-3</v>
      </c>
      <c r="M42" s="11">
        <f t="shared" si="6"/>
        <v>-0.28503365269585834</v>
      </c>
      <c r="N42" s="3">
        <f t="shared" si="7"/>
        <v>-0.19952882718266221</v>
      </c>
      <c r="O42" s="5">
        <f t="shared" si="8"/>
        <v>3.5615596244339502E-5</v>
      </c>
      <c r="Q42">
        <v>-0.28503365269585834</v>
      </c>
      <c r="R42">
        <v>-0.19952882718266221</v>
      </c>
      <c r="S42">
        <f t="shared" si="4"/>
        <v>0.24228123993926026</v>
      </c>
    </row>
    <row r="43" spans="1:19" x14ac:dyDescent="0.2">
      <c r="A43" s="1">
        <v>1.6678381499999899</v>
      </c>
      <c r="B43" s="1">
        <v>0.386865582076937</v>
      </c>
      <c r="C43" s="1">
        <v>1.76068745</v>
      </c>
      <c r="D43" s="1">
        <v>-9.2849300000000107E-2</v>
      </c>
      <c r="E43" s="1">
        <v>0.61610875598929804</v>
      </c>
      <c r="F43" s="1">
        <v>1.71562239999999</v>
      </c>
      <c r="G43" s="1">
        <v>4.778425E-2</v>
      </c>
      <c r="H43" s="1">
        <v>0.32349921955692101</v>
      </c>
      <c r="I43" s="1">
        <v>7.0316775000000095E-2</v>
      </c>
      <c r="K43" s="6" t="s">
        <v>20</v>
      </c>
      <c r="L43" s="3">
        <f t="shared" si="5"/>
        <v>0.61610875598929804</v>
      </c>
      <c r="M43" s="11">
        <f t="shared" si="6"/>
        <v>-5.567044979754221E-2</v>
      </c>
      <c r="N43" s="3">
        <f t="shared" si="7"/>
        <v>2.8650411911971367E-2</v>
      </c>
      <c r="O43" s="3">
        <f t="shared" si="8"/>
        <v>0.32349921955692101</v>
      </c>
      <c r="Q43">
        <v>0</v>
      </c>
      <c r="R43">
        <v>0</v>
      </c>
      <c r="S43">
        <f t="shared" si="4"/>
        <v>0</v>
      </c>
    </row>
    <row r="44" spans="1:19" x14ac:dyDescent="0.2">
      <c r="A44" s="1">
        <v>1.6678381499999899</v>
      </c>
      <c r="B44" s="1">
        <v>0.386865582076937</v>
      </c>
      <c r="C44" s="1">
        <v>1.75261759999999</v>
      </c>
      <c r="D44" s="1">
        <v>-8.4779450000000006E-2</v>
      </c>
      <c r="E44" s="1">
        <v>0.51061634897471697</v>
      </c>
      <c r="F44" s="1">
        <v>1.7311262000000001</v>
      </c>
      <c r="G44" s="1">
        <v>6.3288050000000096E-2</v>
      </c>
      <c r="H44" s="1">
        <v>0.35796216645102202</v>
      </c>
      <c r="I44" s="1">
        <v>7.4033750000000106E-2</v>
      </c>
      <c r="K44" s="6" t="s">
        <v>21</v>
      </c>
      <c r="L44" s="3">
        <f t="shared" si="5"/>
        <v>0.51061634897471697</v>
      </c>
      <c r="M44" s="11">
        <f t="shared" si="6"/>
        <v>-5.0831940737175556E-2</v>
      </c>
      <c r="N44" s="3">
        <f t="shared" si="7"/>
        <v>3.7946158024986104E-2</v>
      </c>
      <c r="O44" s="3">
        <f t="shared" si="8"/>
        <v>0.35796216645102202</v>
      </c>
      <c r="Q44">
        <v>0</v>
      </c>
      <c r="R44">
        <v>0</v>
      </c>
      <c r="S44">
        <f t="shared" si="4"/>
        <v>0</v>
      </c>
    </row>
    <row r="45" spans="1:19" x14ac:dyDescent="0.2">
      <c r="A45" s="1">
        <v>1.6678381499999899</v>
      </c>
      <c r="B45" s="1">
        <v>0.386865582076937</v>
      </c>
      <c r="C45" s="1">
        <v>1.7747039499999899</v>
      </c>
      <c r="D45" s="1">
        <v>-0.1068658</v>
      </c>
      <c r="E45" s="1">
        <v>0.89973906179893104</v>
      </c>
      <c r="F45" s="1">
        <v>1.6535343650000001</v>
      </c>
      <c r="G45" s="1">
        <v>-1.43037849999998E-2</v>
      </c>
      <c r="H45" s="1">
        <v>0.247567018047438</v>
      </c>
      <c r="I45" s="1">
        <v>4.6281007499999999E-2</v>
      </c>
      <c r="K45" s="6" t="s">
        <v>22</v>
      </c>
      <c r="L45" s="3">
        <f t="shared" si="5"/>
        <v>0.89973906179893104</v>
      </c>
      <c r="M45" s="11">
        <f t="shared" si="6"/>
        <v>-6.4074442714960461E-2</v>
      </c>
      <c r="N45" s="3">
        <f t="shared" si="7"/>
        <v>-8.5762428446668447E-3</v>
      </c>
      <c r="O45" s="3">
        <f t="shared" si="8"/>
        <v>0.247567018047438</v>
      </c>
      <c r="Q45">
        <v>0</v>
      </c>
      <c r="R45">
        <v>0</v>
      </c>
      <c r="S45">
        <f t="shared" si="4"/>
        <v>0</v>
      </c>
    </row>
    <row r="46" spans="1:19" x14ac:dyDescent="0.2">
      <c r="A46" s="1">
        <v>1.6678381499999899</v>
      </c>
      <c r="B46" s="1">
        <v>0.386865582076937</v>
      </c>
      <c r="C46" s="1">
        <v>1.7447956499999899</v>
      </c>
      <c r="D46" s="1">
        <v>-7.6957499999999998E-2</v>
      </c>
      <c r="E46" s="1">
        <v>0.432278783273085</v>
      </c>
      <c r="F46" s="1">
        <v>1.7420015499999899</v>
      </c>
      <c r="G46" s="1">
        <v>7.4163399999999893E-2</v>
      </c>
      <c r="H46" s="1">
        <v>0.40862738211606398</v>
      </c>
      <c r="I46" s="1">
        <v>7.5560450000000001E-2</v>
      </c>
      <c r="K46" s="6" t="s">
        <v>23</v>
      </c>
      <c r="L46" s="3">
        <f t="shared" si="5"/>
        <v>0.432278783273085</v>
      </c>
      <c r="M46" s="11">
        <f t="shared" si="6"/>
        <v>-4.6142067202384396E-2</v>
      </c>
      <c r="N46" s="3">
        <f t="shared" si="7"/>
        <v>4.4466784741673128E-2</v>
      </c>
      <c r="O46" s="3">
        <f t="shared" si="8"/>
        <v>0.40862738211606398</v>
      </c>
      <c r="Q46">
        <v>0</v>
      </c>
      <c r="R46">
        <v>0</v>
      </c>
      <c r="S46">
        <f t="shared" si="4"/>
        <v>0</v>
      </c>
    </row>
    <row r="47" spans="1:19" x14ac:dyDescent="0.2">
      <c r="A47" s="1">
        <v>1.6678381499999899</v>
      </c>
      <c r="B47" s="1">
        <v>0.386865582076937</v>
      </c>
      <c r="C47" s="1">
        <v>2.1719925500000001</v>
      </c>
      <c r="D47" s="1">
        <v>-0.5041544</v>
      </c>
      <c r="E47" s="1">
        <v>1.6012694773392499E-3</v>
      </c>
      <c r="F47" s="1">
        <v>1.3412275</v>
      </c>
      <c r="G47" s="1">
        <v>-0.326610649999999</v>
      </c>
      <c r="H47" s="1">
        <v>1.7219050600462001E-5</v>
      </c>
      <c r="I47" s="1">
        <v>8.8771875000000097E-2</v>
      </c>
      <c r="K47" s="6" t="s">
        <v>24</v>
      </c>
      <c r="L47" s="5">
        <f t="shared" si="5"/>
        <v>1.6012694773392499E-3</v>
      </c>
      <c r="M47" s="11">
        <f t="shared" si="6"/>
        <v>-0.30228017029110593</v>
      </c>
      <c r="N47" s="3">
        <f t="shared" si="7"/>
        <v>-0.19582874393417668</v>
      </c>
      <c r="O47" s="5">
        <f t="shared" si="8"/>
        <v>1.7219050600462001E-5</v>
      </c>
      <c r="Q47">
        <v>-0.30228017029110593</v>
      </c>
      <c r="R47">
        <v>-0.19582874393417668</v>
      </c>
      <c r="S47">
        <f t="shared" si="4"/>
        <v>0.24905445711264129</v>
      </c>
    </row>
    <row r="48" spans="1:19" x14ac:dyDescent="0.2">
      <c r="A48" s="1">
        <v>1.6678381499999899</v>
      </c>
      <c r="B48" s="1">
        <v>0.386865582076937</v>
      </c>
      <c r="C48" s="1">
        <v>1.74813065</v>
      </c>
      <c r="D48" s="1">
        <v>-8.0292500000000003E-2</v>
      </c>
      <c r="E48" s="1">
        <v>0.41852015457192299</v>
      </c>
      <c r="F48" s="1">
        <v>1.7428762499999899</v>
      </c>
      <c r="G48" s="1">
        <v>7.5038099999999899E-2</v>
      </c>
      <c r="H48" s="1">
        <v>0.37969671970955998</v>
      </c>
      <c r="I48" s="1">
        <v>7.7665300000000007E-2</v>
      </c>
      <c r="K48" s="6" t="s">
        <v>25</v>
      </c>
      <c r="L48" s="3">
        <f t="shared" si="5"/>
        <v>0.41852015457192299</v>
      </c>
      <c r="M48" s="11">
        <f t="shared" si="6"/>
        <v>-4.8141661707402778E-2</v>
      </c>
      <c r="N48" s="3">
        <f t="shared" si="7"/>
        <v>4.499123611005082E-2</v>
      </c>
      <c r="O48" s="3">
        <f t="shared" si="8"/>
        <v>0.37969671970955998</v>
      </c>
      <c r="Q48">
        <v>0</v>
      </c>
      <c r="R48">
        <v>0</v>
      </c>
      <c r="S48">
        <f t="shared" si="4"/>
        <v>0</v>
      </c>
    </row>
    <row r="49" spans="1:19" ht="51" x14ac:dyDescent="0.2">
      <c r="L49" s="4" t="s">
        <v>1</v>
      </c>
      <c r="M49" s="12" t="s">
        <v>2</v>
      </c>
      <c r="N49" s="4" t="s">
        <v>3</v>
      </c>
      <c r="O49" s="4" t="s">
        <v>1</v>
      </c>
    </row>
    <row r="50" spans="1:19" x14ac:dyDescent="0.2">
      <c r="L50" s="4"/>
      <c r="M50" s="12"/>
      <c r="N50" s="4"/>
      <c r="O50" s="4"/>
    </row>
    <row r="51" spans="1:19" ht="19" x14ac:dyDescent="0.25">
      <c r="L51" s="15" t="s">
        <v>28</v>
      </c>
      <c r="M51" s="16"/>
      <c r="N51" s="16"/>
      <c r="O51" s="16"/>
    </row>
    <row r="52" spans="1:19" x14ac:dyDescent="0.2">
      <c r="A52" s="1">
        <v>4.3490973500000002E-2</v>
      </c>
      <c r="B52" s="1">
        <v>1.00483517910064E-2</v>
      </c>
      <c r="C52" s="1">
        <v>4.9772800999999901E-2</v>
      </c>
      <c r="D52" s="1">
        <v>-6.2818274999999896E-3</v>
      </c>
      <c r="E52" s="1">
        <v>0.26899969060863799</v>
      </c>
      <c r="F52" s="1">
        <v>4.7117225999999998E-2</v>
      </c>
      <c r="G52" s="1">
        <v>3.6262525000000001E-3</v>
      </c>
      <c r="H52" s="1">
        <v>0.13560449264753999</v>
      </c>
      <c r="I52" s="1">
        <v>4.9540399999999903E-3</v>
      </c>
      <c r="K52" s="6" t="s">
        <v>4</v>
      </c>
      <c r="L52" s="3">
        <f t="shared" si="5"/>
        <v>0.26899969060863799</v>
      </c>
      <c r="M52" s="13">
        <f t="shared" si="6"/>
        <v>-0.14443979967475296</v>
      </c>
      <c r="N52" s="8">
        <f t="shared" si="7"/>
        <v>8.3379428147314291E-2</v>
      </c>
      <c r="O52" s="3">
        <f t="shared" si="8"/>
        <v>0.13560449264753999</v>
      </c>
      <c r="Q52">
        <v>0</v>
      </c>
      <c r="R52">
        <v>0</v>
      </c>
      <c r="S52">
        <f t="shared" ref="S52:S73" si="9">(ABS(Q52)+ABS(R52))/2</f>
        <v>0</v>
      </c>
    </row>
    <row r="53" spans="1:19" x14ac:dyDescent="0.2">
      <c r="A53" s="1">
        <v>4.3490973500000002E-2</v>
      </c>
      <c r="B53" s="1">
        <v>1.00483517910064E-2</v>
      </c>
      <c r="C53" s="1">
        <v>5.0712472500000001E-2</v>
      </c>
      <c r="D53" s="1">
        <v>-7.2214989999999897E-3</v>
      </c>
      <c r="E53" s="1">
        <v>5.8161660375203299E-3</v>
      </c>
      <c r="F53" s="1">
        <v>0.19458758700000001</v>
      </c>
      <c r="G53" s="1">
        <v>0.1510966135</v>
      </c>
      <c r="H53" s="1">
        <v>0.161716887846902</v>
      </c>
      <c r="I53" s="1">
        <v>7.9159056249999901E-2</v>
      </c>
      <c r="K53" s="6" t="s">
        <v>5</v>
      </c>
      <c r="L53" s="5">
        <f t="shared" si="5"/>
        <v>5.8161660375203299E-3</v>
      </c>
      <c r="M53" s="13">
        <f t="shared" si="6"/>
        <v>-0.16604592674845481</v>
      </c>
      <c r="N53" s="8">
        <f t="shared" si="7"/>
        <v>3.4742062855870541</v>
      </c>
      <c r="O53" s="3">
        <f t="shared" si="8"/>
        <v>0.161716887846902</v>
      </c>
      <c r="Q53">
        <v>-0.16604592674845481</v>
      </c>
      <c r="R53">
        <v>0</v>
      </c>
      <c r="S53">
        <f t="shared" si="9"/>
        <v>8.3022963374227404E-2</v>
      </c>
    </row>
    <row r="54" spans="1:19" x14ac:dyDescent="0.2">
      <c r="A54" s="1">
        <v>4.3490973500000002E-2</v>
      </c>
      <c r="B54" s="1">
        <v>1.00483517910064E-2</v>
      </c>
      <c r="C54" s="1">
        <v>69.228145326499899</v>
      </c>
      <c r="D54" s="1">
        <v>-69.1846543529999</v>
      </c>
      <c r="E54" s="1">
        <v>0.32496522105652698</v>
      </c>
      <c r="F54" s="1">
        <v>4.4197411999999901E-2</v>
      </c>
      <c r="G54" s="1">
        <v>7.0643849999999604E-4</v>
      </c>
      <c r="H54" s="1">
        <v>0.764568348975603</v>
      </c>
      <c r="I54" s="1">
        <v>34.592680395749902</v>
      </c>
      <c r="K54" s="6" t="s">
        <v>6</v>
      </c>
      <c r="L54" s="3">
        <f t="shared" si="5"/>
        <v>0.32496522105652698</v>
      </c>
      <c r="M54" s="13">
        <f t="shared" si="6"/>
        <v>-1590.7819205978431</v>
      </c>
      <c r="N54" s="8">
        <f t="shared" si="7"/>
        <v>1.6243336102835133E-2</v>
      </c>
      <c r="O54" s="3">
        <f t="shared" si="8"/>
        <v>0.764568348975603</v>
      </c>
      <c r="Q54">
        <v>0</v>
      </c>
      <c r="R54">
        <v>0</v>
      </c>
      <c r="S54">
        <f t="shared" si="9"/>
        <v>0</v>
      </c>
    </row>
    <row r="55" spans="1:19" x14ac:dyDescent="0.2">
      <c r="A55" s="1">
        <v>4.3490973500000002E-2</v>
      </c>
      <c r="B55" s="1">
        <v>1.00483517910064E-2</v>
      </c>
      <c r="C55" s="1">
        <v>5.8570073499999903E-2</v>
      </c>
      <c r="D55" s="1">
        <v>-1.5079099999999899E-2</v>
      </c>
      <c r="E55" s="1">
        <v>0.40204087744517097</v>
      </c>
      <c r="F55" s="1">
        <v>0.45002984549999903</v>
      </c>
      <c r="G55" s="1">
        <v>0.406538871999999</v>
      </c>
      <c r="H55" s="1">
        <v>0.30841752688881902</v>
      </c>
      <c r="I55" s="1">
        <v>0.210808985999999</v>
      </c>
      <c r="K55" s="6" t="s">
        <v>7</v>
      </c>
      <c r="L55" s="3">
        <f t="shared" si="5"/>
        <v>0.40204087744517097</v>
      </c>
      <c r="M55" s="13">
        <f t="shared" si="6"/>
        <v>-0.34671792297314058</v>
      </c>
      <c r="N55" s="8">
        <f t="shared" si="7"/>
        <v>9.347660888758881</v>
      </c>
      <c r="O55" s="3">
        <f t="shared" si="8"/>
        <v>0.30841752688881902</v>
      </c>
      <c r="Q55">
        <v>0</v>
      </c>
      <c r="R55">
        <v>0</v>
      </c>
      <c r="S55">
        <f t="shared" si="9"/>
        <v>0</v>
      </c>
    </row>
    <row r="56" spans="1:19" x14ac:dyDescent="0.2">
      <c r="A56" s="1">
        <v>4.3490973500000002E-2</v>
      </c>
      <c r="B56" s="1">
        <v>1.00483517910064E-2</v>
      </c>
      <c r="C56" s="1">
        <v>5.8944200500000002E-2</v>
      </c>
      <c r="D56" s="1">
        <v>-1.5453227E-2</v>
      </c>
      <c r="E56" s="1">
        <v>1.9030855935446199E-6</v>
      </c>
      <c r="F56" s="1">
        <v>3.7521120499999998E-2</v>
      </c>
      <c r="G56" s="1">
        <v>-5.9698529999999903E-3</v>
      </c>
      <c r="H56" s="1">
        <v>1.8426387938293799E-2</v>
      </c>
      <c r="I56" s="1">
        <v>4.7416869999999996E-3</v>
      </c>
      <c r="K56" s="6" t="s">
        <v>8</v>
      </c>
      <c r="L56" s="5">
        <f t="shared" si="5"/>
        <v>1.9030855935446199E-6</v>
      </c>
      <c r="M56" s="13">
        <f t="shared" si="6"/>
        <v>-0.35532032871142788</v>
      </c>
      <c r="N56" s="8">
        <f t="shared" si="7"/>
        <v>-0.13726648358423132</v>
      </c>
      <c r="O56" s="3">
        <f t="shared" si="8"/>
        <v>1.8426387938293799E-2</v>
      </c>
      <c r="Q56">
        <v>-0.35532032871142788</v>
      </c>
      <c r="R56">
        <v>0</v>
      </c>
      <c r="S56">
        <f t="shared" si="9"/>
        <v>0.17766016435571394</v>
      </c>
    </row>
    <row r="57" spans="1:19" x14ac:dyDescent="0.2">
      <c r="A57" s="1">
        <v>4.3490973500000002E-2</v>
      </c>
      <c r="B57" s="1">
        <v>1.00483517910064E-2</v>
      </c>
      <c r="C57" s="1">
        <v>5.48364054999999E-2</v>
      </c>
      <c r="D57" s="1">
        <v>-1.13454319999999E-2</v>
      </c>
      <c r="E57" s="1">
        <v>0.258561459113826</v>
      </c>
      <c r="F57" s="1">
        <v>4.7410682500000002E-2</v>
      </c>
      <c r="G57" s="1">
        <v>3.9197090000000004E-3</v>
      </c>
      <c r="H57" s="1">
        <v>0.109427720161571</v>
      </c>
      <c r="I57" s="1">
        <v>7.6325704999999902E-3</v>
      </c>
      <c r="K57" s="6" t="s">
        <v>9</v>
      </c>
      <c r="L57" s="3">
        <f t="shared" si="5"/>
        <v>0.258561459113826</v>
      </c>
      <c r="M57" s="13">
        <f t="shared" si="6"/>
        <v>-0.26086866048192503</v>
      </c>
      <c r="N57" s="8">
        <f t="shared" si="7"/>
        <v>9.0126954734641662E-2</v>
      </c>
      <c r="O57" s="3">
        <f t="shared" si="8"/>
        <v>0.109427720161571</v>
      </c>
      <c r="Q57">
        <v>0</v>
      </c>
      <c r="R57">
        <v>0</v>
      </c>
      <c r="S57">
        <f t="shared" si="9"/>
        <v>0</v>
      </c>
    </row>
    <row r="58" spans="1:19" x14ac:dyDescent="0.2">
      <c r="A58" s="1">
        <v>4.3490973500000002E-2</v>
      </c>
      <c r="B58" s="1">
        <v>1.00483517910064E-2</v>
      </c>
      <c r="C58" s="1">
        <v>0.25871827599999903</v>
      </c>
      <c r="D58" s="1">
        <v>-0.215227302499999</v>
      </c>
      <c r="E58" s="1">
        <v>0.17496890430350701</v>
      </c>
      <c r="F58" s="1">
        <v>6.5424154499999998E-2</v>
      </c>
      <c r="G58" s="1">
        <v>2.1933181E-2</v>
      </c>
      <c r="H58" s="1">
        <v>0.26023323994289499</v>
      </c>
      <c r="I58" s="1">
        <v>0.118580241749999</v>
      </c>
      <c r="K58" s="6" t="s">
        <v>10</v>
      </c>
      <c r="L58" s="3">
        <f t="shared" si="5"/>
        <v>0.17496890430350701</v>
      </c>
      <c r="M58" s="13">
        <f t="shared" si="6"/>
        <v>-4.9487809809545649</v>
      </c>
      <c r="N58" s="8">
        <f t="shared" si="7"/>
        <v>0.50431570587860031</v>
      </c>
      <c r="O58" s="3">
        <f t="shared" si="8"/>
        <v>0.26023323994289499</v>
      </c>
      <c r="Q58">
        <v>0</v>
      </c>
      <c r="R58">
        <v>0</v>
      </c>
      <c r="S58">
        <f t="shared" si="9"/>
        <v>0</v>
      </c>
    </row>
    <row r="59" spans="1:19" x14ac:dyDescent="0.2">
      <c r="A59" s="1">
        <v>4.3490973500000002E-2</v>
      </c>
      <c r="B59" s="1">
        <v>1.00483517910064E-2</v>
      </c>
      <c r="C59" s="1">
        <v>4.74450729999999E-2</v>
      </c>
      <c r="D59" s="1">
        <v>-3.9540994999999902E-3</v>
      </c>
      <c r="E59" s="1">
        <v>0.260625732824738</v>
      </c>
      <c r="F59" s="1">
        <v>4.8701967999999901E-2</v>
      </c>
      <c r="G59" s="1">
        <v>5.2109944999999902E-3</v>
      </c>
      <c r="H59" s="1">
        <v>4.7083867617084899E-2</v>
      </c>
      <c r="I59" s="1">
        <v>4.5825469999999898E-3</v>
      </c>
      <c r="K59" s="6" t="s">
        <v>11</v>
      </c>
      <c r="L59" s="3">
        <f t="shared" si="5"/>
        <v>0.260625732824738</v>
      </c>
      <c r="M59" s="13">
        <f t="shared" si="6"/>
        <v>-9.0917705026768145E-2</v>
      </c>
      <c r="N59" s="8">
        <f t="shared" si="7"/>
        <v>0.11981783990188194</v>
      </c>
      <c r="O59" s="3">
        <f t="shared" si="8"/>
        <v>4.7083867617084899E-2</v>
      </c>
      <c r="Q59">
        <v>0</v>
      </c>
      <c r="R59">
        <v>0</v>
      </c>
      <c r="S59">
        <f t="shared" si="9"/>
        <v>0</v>
      </c>
    </row>
    <row r="60" spans="1:19" x14ac:dyDescent="0.2">
      <c r="A60" s="1">
        <v>4.3490973500000002E-2</v>
      </c>
      <c r="B60" s="1">
        <v>1.00483517910064E-2</v>
      </c>
      <c r="C60" s="1">
        <v>4.81231295E-2</v>
      </c>
      <c r="D60" s="1">
        <v>-4.6321560000000001E-3</v>
      </c>
      <c r="E60" s="1">
        <v>6.2279001708614598E-2</v>
      </c>
      <c r="F60" s="1">
        <v>9.7243249499999906E-2</v>
      </c>
      <c r="G60" s="1">
        <v>5.3752275999999898E-2</v>
      </c>
      <c r="H60" s="1">
        <v>0.15269484286707899</v>
      </c>
      <c r="I60" s="1">
        <v>2.9192215999999899E-2</v>
      </c>
      <c r="K60" s="6" t="s">
        <v>12</v>
      </c>
      <c r="L60" s="3">
        <f t="shared" si="5"/>
        <v>6.2279001708614598E-2</v>
      </c>
      <c r="M60" s="13">
        <f t="shared" si="6"/>
        <v>-0.10650844594223673</v>
      </c>
      <c r="N60" s="8">
        <f t="shared" si="7"/>
        <v>1.2359409706016329</v>
      </c>
      <c r="O60" s="3">
        <f t="shared" si="8"/>
        <v>0.15269484286707899</v>
      </c>
      <c r="Q60">
        <v>0</v>
      </c>
      <c r="R60">
        <v>0</v>
      </c>
      <c r="S60">
        <f t="shared" si="9"/>
        <v>0</v>
      </c>
    </row>
    <row r="61" spans="1:19" x14ac:dyDescent="0.2">
      <c r="A61" s="1">
        <v>4.3490973500000002E-2</v>
      </c>
      <c r="B61" s="1">
        <v>1.00483517910064E-2</v>
      </c>
      <c r="C61" s="1">
        <v>11.512393382999999</v>
      </c>
      <c r="D61" s="1">
        <v>-11.4689024095</v>
      </c>
      <c r="E61" s="1">
        <v>0.31951608255897102</v>
      </c>
      <c r="F61" s="1">
        <v>0.85876082799999998</v>
      </c>
      <c r="G61" s="1">
        <v>0.8152698545</v>
      </c>
      <c r="H61" s="1">
        <v>0.327785040710736</v>
      </c>
      <c r="I61" s="1">
        <v>6.1420861320000002</v>
      </c>
      <c r="K61" s="6" t="s">
        <v>13</v>
      </c>
      <c r="L61" s="3">
        <f t="shared" si="5"/>
        <v>0.31951608255897102</v>
      </c>
      <c r="M61" s="13">
        <f t="shared" si="6"/>
        <v>-263.70764980691911</v>
      </c>
      <c r="N61" s="8">
        <f t="shared" si="7"/>
        <v>18.745725581424384</v>
      </c>
      <c r="O61" s="3">
        <f t="shared" si="8"/>
        <v>0.327785040710736</v>
      </c>
      <c r="Q61">
        <v>0</v>
      </c>
      <c r="R61">
        <v>0</v>
      </c>
      <c r="S61">
        <f t="shared" si="9"/>
        <v>0</v>
      </c>
    </row>
    <row r="62" spans="1:19" x14ac:dyDescent="0.2">
      <c r="A62" s="1">
        <v>4.3490973500000002E-2</v>
      </c>
      <c r="B62" s="1">
        <v>1.00483517910064E-2</v>
      </c>
      <c r="C62" s="1">
        <v>7.5909632500000004E-2</v>
      </c>
      <c r="D62" s="1">
        <v>-3.2418659000000002E-2</v>
      </c>
      <c r="E62" s="1">
        <v>0.13659603991983199</v>
      </c>
      <c r="F62" s="1">
        <v>5.00563404999999E-2</v>
      </c>
      <c r="G62" s="1">
        <v>6.5653669999999904E-3</v>
      </c>
      <c r="H62" s="1">
        <v>0.135634053298819</v>
      </c>
      <c r="I62" s="1">
        <v>1.9492012999999898E-2</v>
      </c>
      <c r="K62" s="6" t="s">
        <v>14</v>
      </c>
      <c r="L62" s="3">
        <f t="shared" si="5"/>
        <v>0.13659603991983199</v>
      </c>
      <c r="M62" s="13">
        <f t="shared" si="6"/>
        <v>-0.74541120584481746</v>
      </c>
      <c r="N62" s="8">
        <f t="shared" si="7"/>
        <v>0.15095930193422757</v>
      </c>
      <c r="O62" s="3">
        <f t="shared" si="8"/>
        <v>0.135634053298819</v>
      </c>
      <c r="Q62">
        <v>0</v>
      </c>
      <c r="R62">
        <v>0</v>
      </c>
      <c r="S62">
        <f t="shared" si="9"/>
        <v>0</v>
      </c>
    </row>
    <row r="63" spans="1:19" x14ac:dyDescent="0.2">
      <c r="A63" s="1">
        <v>4.3490973500000002E-2</v>
      </c>
      <c r="B63" s="1">
        <v>1.00483517910064E-2</v>
      </c>
      <c r="C63" s="1">
        <v>4.5178613999999999E-2</v>
      </c>
      <c r="D63" s="1">
        <v>-1.6876405E-3</v>
      </c>
      <c r="E63" s="1">
        <v>0.479018395286468</v>
      </c>
      <c r="F63" s="1">
        <v>0.66488289499999897</v>
      </c>
      <c r="G63" s="1">
        <v>0.621391921499999</v>
      </c>
      <c r="H63" s="1">
        <v>0.23016758540993301</v>
      </c>
      <c r="I63" s="1">
        <v>0.31153978099999902</v>
      </c>
      <c r="K63" s="6" t="s">
        <v>15</v>
      </c>
      <c r="L63" s="3">
        <f t="shared" si="5"/>
        <v>0.479018395286468</v>
      </c>
      <c r="M63" s="13">
        <f t="shared" si="6"/>
        <v>-3.8804385466331304E-2</v>
      </c>
      <c r="N63" s="8">
        <f t="shared" si="7"/>
        <v>14.287836566822286</v>
      </c>
      <c r="O63" s="3">
        <f t="shared" si="8"/>
        <v>0.23016758540993301</v>
      </c>
      <c r="Q63">
        <v>0</v>
      </c>
      <c r="R63">
        <v>0</v>
      </c>
      <c r="S63">
        <f t="shared" si="9"/>
        <v>0</v>
      </c>
    </row>
    <row r="64" spans="1:19" x14ac:dyDescent="0.2">
      <c r="A64" s="1">
        <v>4.3490973500000002E-2</v>
      </c>
      <c r="B64" s="1">
        <v>1.00483517910064E-2</v>
      </c>
      <c r="C64" s="1">
        <v>9.7761215499999998E-2</v>
      </c>
      <c r="D64" s="1">
        <v>-5.4270242000000003E-2</v>
      </c>
      <c r="E64" s="1">
        <v>2.1941344762836399E-19</v>
      </c>
      <c r="F64" s="1">
        <v>2.4839271999999999E-2</v>
      </c>
      <c r="G64" s="1">
        <v>-1.8651701499999899E-2</v>
      </c>
      <c r="H64" s="1">
        <v>1.3675214843599601E-7</v>
      </c>
      <c r="I64" s="1">
        <v>1.7809270249999998E-2</v>
      </c>
      <c r="K64" s="6" t="s">
        <v>16</v>
      </c>
      <c r="L64" s="5">
        <f t="shared" si="5"/>
        <v>2.1941344762836399E-19</v>
      </c>
      <c r="M64" s="13">
        <f t="shared" si="6"/>
        <v>-1.2478507063080573</v>
      </c>
      <c r="N64" s="8">
        <f t="shared" si="7"/>
        <v>-0.42886373881697309</v>
      </c>
      <c r="O64" s="5">
        <f t="shared" si="8"/>
        <v>1.3675214843599601E-7</v>
      </c>
      <c r="Q64">
        <v>-1.2478507063080573</v>
      </c>
      <c r="R64">
        <v>-0.42886373881697309</v>
      </c>
      <c r="S64">
        <f t="shared" si="9"/>
        <v>0.83835722256251521</v>
      </c>
    </row>
    <row r="65" spans="1:19" x14ac:dyDescent="0.2">
      <c r="A65" s="1">
        <v>4.3490973500000002E-2</v>
      </c>
      <c r="B65" s="1">
        <v>1.00483517910064E-2</v>
      </c>
      <c r="C65" s="1">
        <v>1.54461389999999E-2</v>
      </c>
      <c r="D65" s="1">
        <v>2.8044834500000001E-2</v>
      </c>
      <c r="E65" s="1">
        <v>1.93506986138336E-10</v>
      </c>
      <c r="F65" s="1">
        <v>0.108375472</v>
      </c>
      <c r="G65" s="1">
        <v>6.4884498499999999E-2</v>
      </c>
      <c r="H65" s="1">
        <v>7.4256084139312E-10</v>
      </c>
      <c r="I65" s="1">
        <v>1.8419832000000001E-2</v>
      </c>
      <c r="K65" s="6" t="s">
        <v>17</v>
      </c>
      <c r="L65" s="5">
        <f t="shared" ref="L65:L73" si="10">E65</f>
        <v>1.93506986138336E-10</v>
      </c>
      <c r="M65" s="13">
        <f t="shared" ref="M65:M73" si="11">D65/A65</f>
        <v>0.64484264763583643</v>
      </c>
      <c r="N65" s="8">
        <f t="shared" ref="N65:N73" si="12">G65/A65</f>
        <v>1.4919072459943901</v>
      </c>
      <c r="O65" s="5">
        <f t="shared" ref="O65:O73" si="13">H65</f>
        <v>7.4256084139312E-10</v>
      </c>
      <c r="Q65">
        <v>0.64484264763583643</v>
      </c>
      <c r="R65">
        <v>1.4919072459943901</v>
      </c>
      <c r="S65">
        <f t="shared" si="9"/>
        <v>1.0683749468151134</v>
      </c>
    </row>
    <row r="66" spans="1:19" x14ac:dyDescent="0.2">
      <c r="A66" s="1">
        <v>4.3490973500000002E-2</v>
      </c>
      <c r="B66" s="1">
        <v>1.00483517910064E-2</v>
      </c>
      <c r="C66" s="1">
        <v>17.768791781000001</v>
      </c>
      <c r="D66" s="1">
        <v>-17.725300807499998</v>
      </c>
      <c r="E66" s="1">
        <v>0.32979895018001998</v>
      </c>
      <c r="F66" s="1">
        <v>4.5673680500000001E-2</v>
      </c>
      <c r="G66" s="1">
        <v>2.1827069999999899E-3</v>
      </c>
      <c r="H66" s="1">
        <v>0.36352421155881798</v>
      </c>
      <c r="I66" s="1">
        <v>8.8637417572500006</v>
      </c>
      <c r="K66" s="6" t="s">
        <v>18</v>
      </c>
      <c r="L66" s="3">
        <f t="shared" si="10"/>
        <v>0.32979895018001998</v>
      </c>
      <c r="M66" s="13">
        <f t="shared" si="11"/>
        <v>-407.56275109592565</v>
      </c>
      <c r="N66" s="8">
        <f t="shared" si="12"/>
        <v>5.0187586626452264E-2</v>
      </c>
      <c r="O66" s="3">
        <f t="shared" si="13"/>
        <v>0.36352421155881798</v>
      </c>
      <c r="Q66">
        <v>0</v>
      </c>
      <c r="R66">
        <v>0</v>
      </c>
      <c r="S66">
        <f t="shared" si="9"/>
        <v>0</v>
      </c>
    </row>
    <row r="67" spans="1:19" x14ac:dyDescent="0.2">
      <c r="A67" s="1">
        <v>4.3490973500000002E-2</v>
      </c>
      <c r="B67" s="1">
        <v>1.00483517910064E-2</v>
      </c>
      <c r="C67" s="1">
        <v>0.282287367499999</v>
      </c>
      <c r="D67" s="1">
        <v>-0.238796393999999</v>
      </c>
      <c r="E67" s="1">
        <v>0.31278631792394002</v>
      </c>
      <c r="F67" s="1">
        <v>3.9960111999999902E-2</v>
      </c>
      <c r="G67" s="1">
        <v>-3.5308614999999999E-3</v>
      </c>
      <c r="H67" s="1">
        <v>0.14637073216139901</v>
      </c>
      <c r="I67" s="1">
        <v>0.11763276624999899</v>
      </c>
      <c r="K67" s="6" t="s">
        <v>19</v>
      </c>
      <c r="L67" s="3">
        <f t="shared" si="10"/>
        <v>0.31278631792394002</v>
      </c>
      <c r="M67" s="13">
        <f t="shared" si="11"/>
        <v>-5.4907116300811012</v>
      </c>
      <c r="N67" s="8">
        <f t="shared" si="12"/>
        <v>-8.1186076462510082E-2</v>
      </c>
      <c r="O67" s="3">
        <f t="shared" si="13"/>
        <v>0.14637073216139901</v>
      </c>
      <c r="Q67">
        <v>0</v>
      </c>
      <c r="R67">
        <v>0</v>
      </c>
      <c r="S67">
        <f t="shared" si="9"/>
        <v>0</v>
      </c>
    </row>
    <row r="68" spans="1:19" x14ac:dyDescent="0.2">
      <c r="A68" s="1">
        <v>4.3490973500000002E-2</v>
      </c>
      <c r="B68" s="1">
        <v>1.00483517910064E-2</v>
      </c>
      <c r="C68" s="1">
        <v>0.83024662049999998</v>
      </c>
      <c r="D68" s="1">
        <v>-0.786755647</v>
      </c>
      <c r="E68" s="1">
        <v>0.31393575188026102</v>
      </c>
      <c r="F68" s="1">
        <v>0.14025549949999899</v>
      </c>
      <c r="G68" s="1">
        <v>9.6764525999999906E-2</v>
      </c>
      <c r="H68" s="1">
        <v>0.30280790245598099</v>
      </c>
      <c r="I68" s="1">
        <v>0.44176008649999998</v>
      </c>
      <c r="K68" s="6" t="s">
        <v>20</v>
      </c>
      <c r="L68" s="3">
        <f t="shared" si="10"/>
        <v>0.31393575188026102</v>
      </c>
      <c r="M68" s="13">
        <f t="shared" si="11"/>
        <v>-18.09009051039062</v>
      </c>
      <c r="N68" s="8">
        <f t="shared" si="12"/>
        <v>2.2249335485672654</v>
      </c>
      <c r="O68" s="3">
        <f t="shared" si="13"/>
        <v>0.30280790245598099</v>
      </c>
      <c r="Q68">
        <v>0</v>
      </c>
      <c r="R68">
        <v>0</v>
      </c>
      <c r="S68">
        <f t="shared" si="9"/>
        <v>0</v>
      </c>
    </row>
    <row r="69" spans="1:19" x14ac:dyDescent="0.2">
      <c r="A69" s="1">
        <v>4.3490973500000002E-2</v>
      </c>
      <c r="B69" s="1">
        <v>1.00483517910064E-2</v>
      </c>
      <c r="C69" s="1">
        <v>0.68833132199999902</v>
      </c>
      <c r="D69" s="1">
        <v>-0.64484034849999905</v>
      </c>
      <c r="E69" s="1">
        <v>0.166177685702283</v>
      </c>
      <c r="F69" s="1">
        <v>5.5156273999999998E-2</v>
      </c>
      <c r="G69" s="1">
        <v>1.16653005E-2</v>
      </c>
      <c r="H69" s="1">
        <v>0.13176231708736</v>
      </c>
      <c r="I69" s="1">
        <v>0.32825282449999899</v>
      </c>
      <c r="K69" s="6" t="s">
        <v>21</v>
      </c>
      <c r="L69" s="3">
        <f t="shared" si="10"/>
        <v>0.166177685702283</v>
      </c>
      <c r="M69" s="13">
        <f t="shared" si="11"/>
        <v>-14.826992743678158</v>
      </c>
      <c r="N69" s="8">
        <f t="shared" si="12"/>
        <v>0.26822348550096259</v>
      </c>
      <c r="O69" s="3">
        <f t="shared" si="13"/>
        <v>0.13176231708736</v>
      </c>
      <c r="Q69">
        <v>0</v>
      </c>
      <c r="R69">
        <v>0</v>
      </c>
      <c r="S69">
        <f t="shared" si="9"/>
        <v>0</v>
      </c>
    </row>
    <row r="70" spans="1:19" x14ac:dyDescent="0.2">
      <c r="A70" s="1">
        <v>4.3490973500000002E-2</v>
      </c>
      <c r="B70" s="1">
        <v>1.00483517910064E-2</v>
      </c>
      <c r="C70" s="1">
        <v>574.610252605499</v>
      </c>
      <c r="D70" s="1">
        <v>-574.56676163199904</v>
      </c>
      <c r="E70" s="1">
        <v>0.32731899779603901</v>
      </c>
      <c r="F70" s="1">
        <v>4.6669501000000002E-2</v>
      </c>
      <c r="G70" s="1">
        <v>3.1785275000000002E-3</v>
      </c>
      <c r="H70" s="1">
        <v>0.214741233583847</v>
      </c>
      <c r="I70" s="1">
        <v>287.28497007974897</v>
      </c>
      <c r="K70" s="6" t="s">
        <v>22</v>
      </c>
      <c r="L70" s="3">
        <f t="shared" si="10"/>
        <v>0.32731899779603901</v>
      </c>
      <c r="M70" s="13">
        <f t="shared" si="11"/>
        <v>-13211.172696145764</v>
      </c>
      <c r="N70" s="8">
        <f t="shared" si="12"/>
        <v>7.3084763209542783E-2</v>
      </c>
      <c r="O70" s="3">
        <f t="shared" si="13"/>
        <v>0.214741233583847</v>
      </c>
      <c r="Q70">
        <v>0</v>
      </c>
      <c r="R70">
        <v>0</v>
      </c>
      <c r="S70">
        <f t="shared" si="9"/>
        <v>0</v>
      </c>
    </row>
    <row r="71" spans="1:19" x14ac:dyDescent="0.2">
      <c r="A71" s="1">
        <v>4.3490973500000002E-2</v>
      </c>
      <c r="B71" s="1">
        <v>1.00483517910064E-2</v>
      </c>
      <c r="C71" s="1">
        <v>0.144215186</v>
      </c>
      <c r="D71" s="1">
        <v>-0.10072421249999999</v>
      </c>
      <c r="E71" s="1">
        <v>0.21987914847918799</v>
      </c>
      <c r="F71" s="1">
        <v>5.8425713499999997E-2</v>
      </c>
      <c r="G71" s="1">
        <v>1.493474E-2</v>
      </c>
      <c r="H71" s="1">
        <v>0.210435330072414</v>
      </c>
      <c r="I71" s="1">
        <v>5.7829476249999998E-2</v>
      </c>
      <c r="K71" s="6" t="s">
        <v>23</v>
      </c>
      <c r="L71" s="3">
        <f t="shared" si="10"/>
        <v>0.21987914847918799</v>
      </c>
      <c r="M71" s="13">
        <f t="shared" si="11"/>
        <v>-2.3159797170325467</v>
      </c>
      <c r="N71" s="8">
        <f t="shared" si="12"/>
        <v>0.34339861350769718</v>
      </c>
      <c r="O71" s="3">
        <f t="shared" si="13"/>
        <v>0.210435330072414</v>
      </c>
      <c r="Q71">
        <v>0</v>
      </c>
      <c r="R71">
        <v>0</v>
      </c>
      <c r="S71">
        <f t="shared" si="9"/>
        <v>0</v>
      </c>
    </row>
    <row r="72" spans="1:19" x14ac:dyDescent="0.2">
      <c r="A72" s="1">
        <v>4.3490973500000002E-2</v>
      </c>
      <c r="B72" s="1">
        <v>1.00483517910064E-2</v>
      </c>
      <c r="C72" s="1">
        <v>3.6274673499999903E-2</v>
      </c>
      <c r="D72" s="1">
        <v>7.2163000000000001E-3</v>
      </c>
      <c r="E72" s="1">
        <v>5.7457948033240898E-3</v>
      </c>
      <c r="F72" s="1">
        <v>0.106346207499999</v>
      </c>
      <c r="G72" s="1">
        <v>6.2855233999999899E-2</v>
      </c>
      <c r="H72" s="1">
        <v>0.22359585664190201</v>
      </c>
      <c r="I72" s="1">
        <v>2.78194669999999E-2</v>
      </c>
      <c r="K72" s="6" t="s">
        <v>24</v>
      </c>
      <c r="L72" s="5">
        <f t="shared" si="10"/>
        <v>5.7457948033240898E-3</v>
      </c>
      <c r="M72" s="13">
        <f t="shared" si="11"/>
        <v>0.16592638470141396</v>
      </c>
      <c r="N72" s="8">
        <f t="shared" si="12"/>
        <v>1.4452478052715902</v>
      </c>
      <c r="O72" s="3">
        <f t="shared" si="13"/>
        <v>0.22359585664190201</v>
      </c>
      <c r="Q72">
        <v>0.16592638470141396</v>
      </c>
      <c r="R72">
        <v>0</v>
      </c>
      <c r="S72">
        <f t="shared" si="9"/>
        <v>8.2963192350706982E-2</v>
      </c>
    </row>
    <row r="73" spans="1:19" x14ac:dyDescent="0.2">
      <c r="A73" s="1">
        <v>4.3490973500000002E-2</v>
      </c>
      <c r="B73" s="1">
        <v>1.00483517910064E-2</v>
      </c>
      <c r="C73" s="1">
        <v>9.4115921000000005E-2</v>
      </c>
      <c r="D73" s="1">
        <v>-5.0624947500000003E-2</v>
      </c>
      <c r="E73" s="1">
        <v>0.31334506125387401</v>
      </c>
      <c r="F73" s="1">
        <v>4.7313610999999901E-2</v>
      </c>
      <c r="G73" s="1">
        <v>3.82263749999999E-3</v>
      </c>
      <c r="H73" s="1">
        <v>0.116582998907865</v>
      </c>
      <c r="I73" s="1">
        <v>2.7223792499999899E-2</v>
      </c>
      <c r="K73" s="6" t="s">
        <v>25</v>
      </c>
      <c r="L73" s="3">
        <f t="shared" si="10"/>
        <v>0.31334506125387401</v>
      </c>
      <c r="M73" s="13">
        <f t="shared" si="11"/>
        <v>-1.1640334401804089</v>
      </c>
      <c r="N73" s="8">
        <f t="shared" si="12"/>
        <v>8.7894962847865202E-2</v>
      </c>
      <c r="O73" s="3">
        <f t="shared" si="13"/>
        <v>0.116582998907865</v>
      </c>
      <c r="Q73">
        <v>0</v>
      </c>
      <c r="R73">
        <v>0</v>
      </c>
      <c r="S73">
        <f t="shared" si="9"/>
        <v>0</v>
      </c>
    </row>
    <row r="74" spans="1:19" ht="51" x14ac:dyDescent="0.2">
      <c r="L74" s="4" t="s">
        <v>1</v>
      </c>
      <c r="M74" s="12" t="s">
        <v>2</v>
      </c>
      <c r="N74" s="4" t="s">
        <v>3</v>
      </c>
      <c r="O74" s="4" t="s">
        <v>1</v>
      </c>
    </row>
    <row r="75" spans="1:19" x14ac:dyDescent="0.2">
      <c r="A75" t="s">
        <v>30</v>
      </c>
      <c r="L75" s="2"/>
      <c r="M75" s="11"/>
      <c r="N75" s="3"/>
      <c r="O75" s="2"/>
    </row>
    <row r="76" spans="1:19" ht="19" x14ac:dyDescent="0.25">
      <c r="L76" s="15" t="s">
        <v>27</v>
      </c>
      <c r="M76" s="16"/>
      <c r="N76" s="16"/>
      <c r="O76" s="16"/>
    </row>
    <row r="77" spans="1:19" x14ac:dyDescent="0.2">
      <c r="A77" s="1">
        <v>0.48849979126996201</v>
      </c>
      <c r="B77" s="1">
        <v>0.11322020635842001</v>
      </c>
      <c r="C77" s="1">
        <v>0.49209027145358802</v>
      </c>
      <c r="D77" s="1">
        <v>-3.59048018362595E-3</v>
      </c>
      <c r="E77" s="1">
        <v>0.89367423851768801</v>
      </c>
      <c r="F77" s="1">
        <v>0.53347049264450996</v>
      </c>
      <c r="G77" s="1">
        <v>4.49707013745482E-2</v>
      </c>
      <c r="H77" s="1">
        <v>0.102080788880441</v>
      </c>
      <c r="I77" s="1">
        <v>2.4280590779087102E-2</v>
      </c>
      <c r="K77" s="6" t="s">
        <v>4</v>
      </c>
      <c r="L77" s="3">
        <f t="shared" ref="L77:L98" si="14">E77</f>
        <v>0.89367423851768801</v>
      </c>
      <c r="M77" s="11">
        <f t="shared" ref="M77:M98" si="15">D77/A77</f>
        <v>-7.3500137518824971E-3</v>
      </c>
      <c r="N77" s="3">
        <f t="shared" ref="N77:N98" si="16">G77/A77</f>
        <v>9.2058793428830402E-2</v>
      </c>
      <c r="O77" s="3">
        <f t="shared" ref="O77:O98" si="17">H77</f>
        <v>0.102080788880441</v>
      </c>
      <c r="Q77">
        <v>0</v>
      </c>
      <c r="R77">
        <v>0</v>
      </c>
      <c r="S77">
        <f t="shared" ref="S77:S98" si="18">(ABS(Q77)+ABS(R77))/2</f>
        <v>0</v>
      </c>
    </row>
    <row r="78" spans="1:19" x14ac:dyDescent="0.2">
      <c r="A78" s="1">
        <v>0.48849979126996201</v>
      </c>
      <c r="B78" s="1">
        <v>0.11322020635842001</v>
      </c>
      <c r="C78" s="1">
        <v>0.75389859063046105</v>
      </c>
      <c r="D78" s="1">
        <v>-0.26539879936049898</v>
      </c>
      <c r="E78" s="1">
        <v>1.9763378131628502E-9</v>
      </c>
      <c r="F78" s="1">
        <v>0.360438000949447</v>
      </c>
      <c r="G78" s="1">
        <v>-0.12806179032051401</v>
      </c>
      <c r="H78" s="1">
        <v>1.04853190367789E-4</v>
      </c>
      <c r="I78" s="1">
        <v>6.8668504519992402E-2</v>
      </c>
      <c r="K78" s="6" t="s">
        <v>5</v>
      </c>
      <c r="L78" s="5">
        <f t="shared" si="14"/>
        <v>1.9763378131628502E-9</v>
      </c>
      <c r="M78" s="11">
        <f t="shared" si="15"/>
        <v>-0.54329357781410059</v>
      </c>
      <c r="N78" s="3">
        <f t="shared" si="16"/>
        <v>-0.26215321400156466</v>
      </c>
      <c r="O78" s="5">
        <f t="shared" si="17"/>
        <v>1.04853190367789E-4</v>
      </c>
      <c r="Q78">
        <v>-0.54338514597666254</v>
      </c>
      <c r="R78">
        <v>-0.26211716153916442</v>
      </c>
      <c r="S78">
        <f t="shared" si="18"/>
        <v>0.40275115375791348</v>
      </c>
    </row>
    <row r="79" spans="1:19" x14ac:dyDescent="0.2">
      <c r="A79" s="1">
        <v>0.48849979126996201</v>
      </c>
      <c r="B79" s="1">
        <v>0.11322020635842001</v>
      </c>
      <c r="C79" s="1">
        <v>0.430238063394839</v>
      </c>
      <c r="D79" s="1">
        <v>5.82617278751223E-2</v>
      </c>
      <c r="E79" s="1">
        <v>9.7801872158346501E-2</v>
      </c>
      <c r="F79" s="1">
        <v>0.54264018524255198</v>
      </c>
      <c r="G79" s="1">
        <v>5.41403939725906E-2</v>
      </c>
      <c r="H79" s="1">
        <v>5.1462642504761999E-2</v>
      </c>
      <c r="I79" s="1">
        <v>-2.06066695126586E-3</v>
      </c>
      <c r="K79" s="6" t="s">
        <v>6</v>
      </c>
      <c r="L79" s="3">
        <f t="shared" si="14"/>
        <v>9.7801872158346501E-2</v>
      </c>
      <c r="M79" s="11">
        <f t="shared" si="15"/>
        <v>0.11926663821832595</v>
      </c>
      <c r="N79" s="3">
        <f t="shared" si="16"/>
        <v>0.11082992242809522</v>
      </c>
      <c r="O79" s="3">
        <f t="shared" si="17"/>
        <v>5.1462642504761999E-2</v>
      </c>
      <c r="Q79">
        <v>0</v>
      </c>
      <c r="R79">
        <v>0</v>
      </c>
      <c r="S79">
        <f t="shared" si="18"/>
        <v>0</v>
      </c>
    </row>
    <row r="80" spans="1:19" x14ac:dyDescent="0.2">
      <c r="A80" s="1">
        <v>0.48849979126996201</v>
      </c>
      <c r="B80" s="1">
        <v>0.11322020635842001</v>
      </c>
      <c r="C80" s="1">
        <v>0.49589214200680098</v>
      </c>
      <c r="D80" s="1">
        <v>-7.3923507368396897E-3</v>
      </c>
      <c r="E80" s="1">
        <v>0.79451889805614095</v>
      </c>
      <c r="F80" s="1">
        <v>0.499543797152945</v>
      </c>
      <c r="G80" s="1">
        <v>1.10440058829835E-2</v>
      </c>
      <c r="H80" s="1">
        <v>0.70274078559332198</v>
      </c>
      <c r="I80" s="1">
        <v>9.2181783099116402E-3</v>
      </c>
      <c r="K80" s="6" t="s">
        <v>7</v>
      </c>
      <c r="L80" s="3">
        <f t="shared" si="14"/>
        <v>0.79451889805614095</v>
      </c>
      <c r="M80" s="11">
        <f t="shared" si="15"/>
        <v>-1.5132761300924322E-2</v>
      </c>
      <c r="N80" s="3">
        <f t="shared" si="16"/>
        <v>2.2608005326414146E-2</v>
      </c>
      <c r="O80" s="3">
        <f t="shared" si="17"/>
        <v>0.70274078559332198</v>
      </c>
      <c r="Q80">
        <v>0</v>
      </c>
      <c r="R80">
        <v>0</v>
      </c>
      <c r="S80">
        <f t="shared" si="18"/>
        <v>0</v>
      </c>
    </row>
    <row r="81" spans="1:19" x14ac:dyDescent="0.2">
      <c r="A81" s="1">
        <v>0.48849979126996201</v>
      </c>
      <c r="B81" s="1">
        <v>0.11322020635842001</v>
      </c>
      <c r="C81" s="1">
        <v>0.51698370421155104</v>
      </c>
      <c r="D81" s="1">
        <v>-2.84839129415893E-2</v>
      </c>
      <c r="E81" s="1">
        <v>0.28855408251367398</v>
      </c>
      <c r="F81" s="1">
        <v>0.51144343200961995</v>
      </c>
      <c r="G81" s="1">
        <v>2.2943640739658801E-2</v>
      </c>
      <c r="H81" s="1">
        <v>0.39400033328133199</v>
      </c>
      <c r="I81" s="1">
        <v>2.5713776840624002E-2</v>
      </c>
      <c r="K81" s="6" t="s">
        <v>8</v>
      </c>
      <c r="L81" s="3">
        <f t="shared" si="14"/>
        <v>0.28855408251367398</v>
      </c>
      <c r="M81" s="11">
        <f t="shared" si="15"/>
        <v>-5.8308956217850455E-2</v>
      </c>
      <c r="N81" s="3">
        <f t="shared" si="16"/>
        <v>4.6967554847898274E-2</v>
      </c>
      <c r="O81" s="3">
        <f t="shared" si="17"/>
        <v>0.39400033328133199</v>
      </c>
      <c r="Q81">
        <v>0</v>
      </c>
      <c r="R81">
        <v>0</v>
      </c>
      <c r="S81">
        <f t="shared" si="18"/>
        <v>0</v>
      </c>
    </row>
    <row r="82" spans="1:19" x14ac:dyDescent="0.2">
      <c r="A82" s="1">
        <v>0.48849979126996201</v>
      </c>
      <c r="B82" s="1">
        <v>0.11322020635842001</v>
      </c>
      <c r="C82" s="1">
        <v>0.49412294067350498</v>
      </c>
      <c r="D82" s="1">
        <v>-5.6231494035435797E-3</v>
      </c>
      <c r="E82" s="1">
        <v>0.844164687217967</v>
      </c>
      <c r="F82" s="1">
        <v>0.51677397569369399</v>
      </c>
      <c r="G82" s="1">
        <v>2.8274184423732598E-2</v>
      </c>
      <c r="H82" s="1">
        <v>0.294152041494737</v>
      </c>
      <c r="I82" s="1">
        <v>1.69486669136381E-2</v>
      </c>
      <c r="K82" s="6" t="s">
        <v>9</v>
      </c>
      <c r="L82" s="3">
        <f t="shared" si="14"/>
        <v>0.844164687217967</v>
      </c>
      <c r="M82" s="11">
        <f t="shared" si="15"/>
        <v>-1.1511057945234682E-2</v>
      </c>
      <c r="N82" s="3">
        <f t="shared" si="16"/>
        <v>5.7879624370417181E-2</v>
      </c>
      <c r="O82" s="3">
        <f t="shared" si="17"/>
        <v>0.294152041494737</v>
      </c>
      <c r="Q82">
        <v>0</v>
      </c>
      <c r="R82">
        <v>0</v>
      </c>
      <c r="S82">
        <f t="shared" si="18"/>
        <v>0</v>
      </c>
    </row>
    <row r="83" spans="1:19" x14ac:dyDescent="0.2">
      <c r="A83" s="1">
        <v>0.48849979126996201</v>
      </c>
      <c r="B83" s="1">
        <v>0.11322020635842001</v>
      </c>
      <c r="C83" s="1">
        <v>0.50020390398638204</v>
      </c>
      <c r="D83" s="1">
        <v>-1.17041127164199E-2</v>
      </c>
      <c r="E83" s="1">
        <v>0.69202157588757396</v>
      </c>
      <c r="F83" s="1">
        <v>0.51563665676288695</v>
      </c>
      <c r="G83" s="1">
        <v>2.71368654929251E-2</v>
      </c>
      <c r="H83" s="1">
        <v>0.324247238622835</v>
      </c>
      <c r="I83" s="1">
        <v>1.9420489104672499E-2</v>
      </c>
      <c r="K83" s="6" t="s">
        <v>10</v>
      </c>
      <c r="L83" s="3">
        <f t="shared" si="14"/>
        <v>0.69202157588757396</v>
      </c>
      <c r="M83" s="11">
        <f t="shared" si="15"/>
        <v>-2.3959299319233074E-2</v>
      </c>
      <c r="N83" s="3">
        <f t="shared" si="16"/>
        <v>5.5551437232709729E-2</v>
      </c>
      <c r="O83" s="3">
        <f t="shared" si="17"/>
        <v>0.324247238622835</v>
      </c>
      <c r="Q83">
        <v>0</v>
      </c>
      <c r="R83">
        <v>0</v>
      </c>
      <c r="S83">
        <f t="shared" si="18"/>
        <v>0</v>
      </c>
    </row>
    <row r="84" spans="1:19" x14ac:dyDescent="0.2">
      <c r="A84" s="1">
        <v>0.48849979126996201</v>
      </c>
      <c r="B84" s="1">
        <v>0.11322020635842001</v>
      </c>
      <c r="C84" s="1">
        <v>0.50502798816528904</v>
      </c>
      <c r="D84" s="1">
        <v>-1.6528196895327099E-2</v>
      </c>
      <c r="E84" s="1">
        <v>0.54849364650288401</v>
      </c>
      <c r="F84" s="1">
        <v>0.51786730357544797</v>
      </c>
      <c r="G84" s="1">
        <v>2.9367512305485999E-2</v>
      </c>
      <c r="H84" s="1">
        <v>0.27658966338248803</v>
      </c>
      <c r="I84" s="1">
        <v>2.29478546004066E-2</v>
      </c>
      <c r="K84" s="6" t="s">
        <v>11</v>
      </c>
      <c r="L84" s="3">
        <f t="shared" si="14"/>
        <v>0.54849364650288401</v>
      </c>
      <c r="M84" s="11">
        <f t="shared" si="15"/>
        <v>-3.3834603802712866E-2</v>
      </c>
      <c r="N84" s="3">
        <f t="shared" si="16"/>
        <v>6.0117758145072552E-2</v>
      </c>
      <c r="O84" s="3">
        <f t="shared" si="17"/>
        <v>0.27658966338248803</v>
      </c>
      <c r="Q84">
        <v>0</v>
      </c>
      <c r="R84">
        <v>0</v>
      </c>
      <c r="S84">
        <f t="shared" si="18"/>
        <v>0</v>
      </c>
    </row>
    <row r="85" spans="1:19" x14ac:dyDescent="0.2">
      <c r="A85" s="1">
        <v>0.48849979126996201</v>
      </c>
      <c r="B85" s="1">
        <v>0.11322020635842001</v>
      </c>
      <c r="C85" s="1">
        <v>0.51718187472756405</v>
      </c>
      <c r="D85" s="1">
        <v>-2.86820834576028E-2</v>
      </c>
      <c r="E85" s="1">
        <v>0.284124248228525</v>
      </c>
      <c r="F85" s="1">
        <v>0.49323196586575602</v>
      </c>
      <c r="G85" s="1">
        <v>4.73217459579439E-3</v>
      </c>
      <c r="H85" s="1">
        <v>0.87495549820875995</v>
      </c>
      <c r="I85" s="1">
        <v>1.6707129026698599E-2</v>
      </c>
      <c r="K85" s="6" t="s">
        <v>12</v>
      </c>
      <c r="L85" s="3">
        <f t="shared" si="14"/>
        <v>0.284124248228525</v>
      </c>
      <c r="M85" s="11">
        <f t="shared" si="15"/>
        <v>-5.8714627867163367E-2</v>
      </c>
      <c r="N85" s="3">
        <f t="shared" si="16"/>
        <v>9.6871578665204076E-3</v>
      </c>
      <c r="O85" s="3">
        <f t="shared" si="17"/>
        <v>0.87495549820875995</v>
      </c>
      <c r="Q85">
        <v>0</v>
      </c>
      <c r="R85">
        <v>0</v>
      </c>
      <c r="S85">
        <f t="shared" si="18"/>
        <v>0</v>
      </c>
    </row>
    <row r="86" spans="1:19" x14ac:dyDescent="0.2">
      <c r="A86" s="1">
        <v>0.48849979126996201</v>
      </c>
      <c r="B86" s="1">
        <v>0.11322020635842001</v>
      </c>
      <c r="C86" s="1">
        <v>0.48501145293666598</v>
      </c>
      <c r="D86" s="1">
        <v>3.4883383332957002E-3</v>
      </c>
      <c r="E86" s="1">
        <v>0.920447267291577</v>
      </c>
      <c r="F86" s="1">
        <v>0.50766504954819702</v>
      </c>
      <c r="G86" s="1">
        <v>1.9165258278235401E-2</v>
      </c>
      <c r="H86" s="1">
        <v>0.50195967859378199</v>
      </c>
      <c r="I86" s="1">
        <v>7.8384599724698693E-3</v>
      </c>
      <c r="K86" s="6" t="s">
        <v>13</v>
      </c>
      <c r="L86" s="3">
        <f t="shared" si="14"/>
        <v>0.920447267291577</v>
      </c>
      <c r="M86" s="11">
        <f t="shared" si="15"/>
        <v>7.1409208266537882E-3</v>
      </c>
      <c r="N86" s="3">
        <f t="shared" si="16"/>
        <v>3.923288939062005E-2</v>
      </c>
      <c r="O86" s="3">
        <f t="shared" si="17"/>
        <v>0.50195967859378199</v>
      </c>
      <c r="Q86">
        <v>0</v>
      </c>
      <c r="R86">
        <v>0</v>
      </c>
      <c r="S86">
        <f t="shared" si="18"/>
        <v>0</v>
      </c>
    </row>
    <row r="87" spans="1:19" x14ac:dyDescent="0.2">
      <c r="A87" s="1">
        <v>0.48849979126996201</v>
      </c>
      <c r="B87" s="1">
        <v>0.11322020635842001</v>
      </c>
      <c r="C87" s="1">
        <v>0.500718490647174</v>
      </c>
      <c r="D87" s="1">
        <v>-1.22186993772125E-2</v>
      </c>
      <c r="E87" s="1">
        <v>0.66546587666580703</v>
      </c>
      <c r="F87" s="1">
        <v>0.51192084436627805</v>
      </c>
      <c r="G87" s="1">
        <v>2.34210530963164E-2</v>
      </c>
      <c r="H87" s="1">
        <v>0.38742143113157201</v>
      </c>
      <c r="I87" s="1">
        <v>1.7819876236764499E-2</v>
      </c>
      <c r="K87" s="6" t="s">
        <v>14</v>
      </c>
      <c r="L87" s="3">
        <f t="shared" si="14"/>
        <v>0.66546587666580703</v>
      </c>
      <c r="M87" s="11">
        <f t="shared" si="15"/>
        <v>-2.5012701326744317E-2</v>
      </c>
      <c r="N87" s="3">
        <f t="shared" si="16"/>
        <v>4.7944857940324298E-2</v>
      </c>
      <c r="O87" s="3">
        <f t="shared" si="17"/>
        <v>0.38742143113157201</v>
      </c>
      <c r="Q87">
        <v>0</v>
      </c>
      <c r="R87">
        <v>0</v>
      </c>
      <c r="S87">
        <f t="shared" si="18"/>
        <v>0</v>
      </c>
    </row>
    <row r="88" spans="1:19" x14ac:dyDescent="0.2">
      <c r="A88" s="1">
        <v>0.48849979126996201</v>
      </c>
      <c r="B88" s="1">
        <v>0.11322020635842001</v>
      </c>
      <c r="C88" s="1">
        <v>0.50690334976206497</v>
      </c>
      <c r="D88" s="1">
        <v>-1.8403558492103098E-2</v>
      </c>
      <c r="E88" s="1">
        <v>0.50086250187238601</v>
      </c>
      <c r="F88" s="1">
        <v>0.49279794654270997</v>
      </c>
      <c r="G88" s="1">
        <v>4.2981552727481796E-3</v>
      </c>
      <c r="H88" s="1">
        <v>0.88328540595257599</v>
      </c>
      <c r="I88" s="1">
        <v>1.1350856882425601E-2</v>
      </c>
      <c r="K88" s="6" t="s">
        <v>15</v>
      </c>
      <c r="L88" s="3">
        <f t="shared" si="14"/>
        <v>0.50086250187238601</v>
      </c>
      <c r="M88" s="11">
        <f t="shared" si="15"/>
        <v>-3.7673626112017418E-2</v>
      </c>
      <c r="N88" s="3">
        <f t="shared" si="16"/>
        <v>8.7986839494325793E-3</v>
      </c>
      <c r="O88" s="3">
        <f t="shared" si="17"/>
        <v>0.88328540595257599</v>
      </c>
      <c r="Q88">
        <v>0</v>
      </c>
      <c r="R88">
        <v>0</v>
      </c>
      <c r="S88">
        <f t="shared" si="18"/>
        <v>0</v>
      </c>
    </row>
    <row r="89" spans="1:19" x14ac:dyDescent="0.2">
      <c r="A89" s="1">
        <v>0.48849979126996201</v>
      </c>
      <c r="B89" s="1">
        <v>0.11322020635842001</v>
      </c>
      <c r="C89" s="1">
        <v>0.69137054886780902</v>
      </c>
      <c r="D89" s="1">
        <v>-0.20287075759784601</v>
      </c>
      <c r="E89" s="1">
        <v>1.8142566851681899E-7</v>
      </c>
      <c r="F89" s="1">
        <v>0.41135319786298702</v>
      </c>
      <c r="G89" s="1">
        <v>-7.7146593406974703E-2</v>
      </c>
      <c r="H89" s="1">
        <v>7.9822525399630695E-3</v>
      </c>
      <c r="I89" s="1">
        <v>6.2862082095436006E-2</v>
      </c>
      <c r="K89" s="6" t="s">
        <v>16</v>
      </c>
      <c r="L89" s="5">
        <f t="shared" si="14"/>
        <v>1.8142566851681899E-7</v>
      </c>
      <c r="M89" s="11">
        <f t="shared" si="15"/>
        <v>-0.41529343762960291</v>
      </c>
      <c r="N89" s="3">
        <f t="shared" si="16"/>
        <v>-0.1579255401653607</v>
      </c>
      <c r="O89" s="5">
        <f t="shared" si="17"/>
        <v>7.9822525399630695E-3</v>
      </c>
      <c r="Q89">
        <v>-0.41538192872212604</v>
      </c>
      <c r="R89">
        <v>-0.15794621302970896</v>
      </c>
      <c r="S89">
        <f t="shared" si="18"/>
        <v>0.2866640708759175</v>
      </c>
    </row>
    <row r="90" spans="1:19" x14ac:dyDescent="0.2">
      <c r="A90" s="1">
        <v>0.48849979126996201</v>
      </c>
      <c r="B90" s="1">
        <v>0.11322020635842001</v>
      </c>
      <c r="C90" s="1">
        <v>0.27423867759728199</v>
      </c>
      <c r="D90" s="1">
        <v>0.214261113672679</v>
      </c>
      <c r="E90" s="1">
        <v>1.02689480497634E-7</v>
      </c>
      <c r="F90" s="1">
        <v>0.73756006311608402</v>
      </c>
      <c r="G90" s="1">
        <v>0.24906027184612201</v>
      </c>
      <c r="H90" s="1">
        <v>2.5655516298687501E-9</v>
      </c>
      <c r="I90" s="1">
        <v>1.7399579086721299E-2</v>
      </c>
      <c r="K90" s="6" t="s">
        <v>17</v>
      </c>
      <c r="L90" s="5">
        <f t="shared" si="14"/>
        <v>1.02689480497634E-7</v>
      </c>
      <c r="M90" s="11">
        <f t="shared" si="15"/>
        <v>0.43861045081648936</v>
      </c>
      <c r="N90" s="3">
        <f t="shared" si="16"/>
        <v>0.50984724312498753</v>
      </c>
      <c r="O90" s="5">
        <f t="shared" si="17"/>
        <v>2.5655516298687501E-9</v>
      </c>
      <c r="Q90">
        <v>0.43835304731832031</v>
      </c>
      <c r="R90">
        <v>0.50966520945203386</v>
      </c>
      <c r="S90">
        <f t="shared" si="18"/>
        <v>0.47400912838517706</v>
      </c>
    </row>
    <row r="91" spans="1:19" x14ac:dyDescent="0.2">
      <c r="A91" s="1">
        <v>0.48849979126996201</v>
      </c>
      <c r="B91" s="1">
        <v>0.11322020635842001</v>
      </c>
      <c r="C91" s="1">
        <v>0.49601552915310099</v>
      </c>
      <c r="D91" s="1">
        <v>-7.5157378831394103E-3</v>
      </c>
      <c r="E91" s="1">
        <v>0.81112889685435496</v>
      </c>
      <c r="F91" s="1">
        <v>0.50835580028392902</v>
      </c>
      <c r="G91" s="1">
        <v>1.9856009013966801E-2</v>
      </c>
      <c r="H91" s="1">
        <v>0.46102850930594003</v>
      </c>
      <c r="I91" s="1">
        <v>1.36858734485531E-2</v>
      </c>
      <c r="K91" s="6" t="s">
        <v>18</v>
      </c>
      <c r="L91" s="3">
        <f t="shared" si="14"/>
        <v>0.81112889685435496</v>
      </c>
      <c r="M91" s="11">
        <f t="shared" si="15"/>
        <v>-1.5385345126966394E-2</v>
      </c>
      <c r="N91" s="3">
        <f t="shared" si="16"/>
        <v>4.064691401883052E-2</v>
      </c>
      <c r="O91" s="3">
        <f t="shared" si="17"/>
        <v>0.46102850930594003</v>
      </c>
      <c r="Q91">
        <v>0</v>
      </c>
      <c r="R91">
        <v>0</v>
      </c>
      <c r="S91">
        <f t="shared" si="18"/>
        <v>0</v>
      </c>
    </row>
    <row r="92" spans="1:19" x14ac:dyDescent="0.2">
      <c r="A92" s="1">
        <v>0.48849979126996201</v>
      </c>
      <c r="B92" s="1">
        <v>0.11322020635842001</v>
      </c>
      <c r="C92" s="1">
        <v>0.39312391226307197</v>
      </c>
      <c r="D92" s="1">
        <v>9.5375879006889305E-2</v>
      </c>
      <c r="E92" s="1">
        <v>1.94910958036741E-3</v>
      </c>
      <c r="F92" s="1">
        <v>0.61529175215186904</v>
      </c>
      <c r="G92" s="1">
        <v>0.126791960881907</v>
      </c>
      <c r="H92" s="1">
        <v>1.04743134947006E-4</v>
      </c>
      <c r="I92" s="1">
        <v>1.5708040937509101E-2</v>
      </c>
      <c r="K92" s="6" t="s">
        <v>19</v>
      </c>
      <c r="L92" s="5">
        <f t="shared" si="14"/>
        <v>1.94910958036741E-3</v>
      </c>
      <c r="M92" s="11">
        <f t="shared" si="15"/>
        <v>0.19524241506621498</v>
      </c>
      <c r="N92" s="3">
        <f t="shared" si="16"/>
        <v>0.25955376675245567</v>
      </c>
      <c r="O92" s="5">
        <f t="shared" si="17"/>
        <v>1.04743134947006E-4</v>
      </c>
      <c r="Q92">
        <v>0.19525797073062623</v>
      </c>
      <c r="R92">
        <v>0.25962218945794685</v>
      </c>
      <c r="S92">
        <f t="shared" si="18"/>
        <v>0.22744008009428654</v>
      </c>
    </row>
    <row r="93" spans="1:19" x14ac:dyDescent="0.2">
      <c r="A93" s="1">
        <v>0.48849979126996201</v>
      </c>
      <c r="B93" s="1">
        <v>0.11322020635842001</v>
      </c>
      <c r="C93" s="1">
        <v>0.48476084296428701</v>
      </c>
      <c r="D93" s="1">
        <v>3.73894830567494E-3</v>
      </c>
      <c r="E93" s="1">
        <v>0.90058431052131904</v>
      </c>
      <c r="F93" s="1">
        <v>0.50605351914236096</v>
      </c>
      <c r="G93" s="1">
        <v>1.7553727872399099E-2</v>
      </c>
      <c r="H93" s="1">
        <v>0.53456028472921502</v>
      </c>
      <c r="I93" s="1">
        <v>6.9073897833621103E-3</v>
      </c>
      <c r="K93" s="6" t="s">
        <v>20</v>
      </c>
      <c r="L93" s="3">
        <f t="shared" si="14"/>
        <v>0.90058431052131904</v>
      </c>
      <c r="M93" s="11">
        <f t="shared" si="15"/>
        <v>7.6539404366063827E-3</v>
      </c>
      <c r="N93" s="3">
        <f t="shared" si="16"/>
        <v>3.5933951633355554E-2</v>
      </c>
      <c r="O93" s="3">
        <f t="shared" si="17"/>
        <v>0.53456028472921502</v>
      </c>
      <c r="Q93">
        <v>0</v>
      </c>
      <c r="R93">
        <v>0</v>
      </c>
      <c r="S93">
        <f t="shared" si="18"/>
        <v>0</v>
      </c>
    </row>
    <row r="94" spans="1:19" x14ac:dyDescent="0.2">
      <c r="A94" s="1">
        <v>0.48849979126996201</v>
      </c>
      <c r="B94" s="1">
        <v>0.11322020635842001</v>
      </c>
      <c r="C94" s="1">
        <v>0.49889493723942302</v>
      </c>
      <c r="D94" s="1">
        <v>-1.03951459694609E-2</v>
      </c>
      <c r="E94" s="1">
        <v>0.73083114890972301</v>
      </c>
      <c r="F94" s="1">
        <v>0.50774315339476905</v>
      </c>
      <c r="G94" s="1">
        <v>1.9243362124807199E-2</v>
      </c>
      <c r="H94" s="1">
        <v>0.48718835518242298</v>
      </c>
      <c r="I94" s="1">
        <v>1.4819254047134099E-2</v>
      </c>
      <c r="K94" s="6" t="s">
        <v>21</v>
      </c>
      <c r="L94" s="3">
        <f t="shared" si="14"/>
        <v>0.73083114890972301</v>
      </c>
      <c r="M94" s="11">
        <f t="shared" si="15"/>
        <v>-2.1279734720943168E-2</v>
      </c>
      <c r="N94" s="3">
        <f t="shared" si="16"/>
        <v>3.9392774508213955E-2</v>
      </c>
      <c r="O94" s="3">
        <f t="shared" si="17"/>
        <v>0.48718835518242298</v>
      </c>
      <c r="Q94">
        <v>0</v>
      </c>
      <c r="R94">
        <v>0</v>
      </c>
      <c r="S94">
        <f t="shared" si="18"/>
        <v>0</v>
      </c>
    </row>
    <row r="95" spans="1:19" x14ac:dyDescent="0.2">
      <c r="A95" s="1">
        <v>0.48849979126996201</v>
      </c>
      <c r="B95" s="1">
        <v>0.11322020635842001</v>
      </c>
      <c r="C95" s="1">
        <v>0.47109936464301999</v>
      </c>
      <c r="D95" s="1">
        <v>1.7400426626941301E-2</v>
      </c>
      <c r="E95" s="1">
        <v>0.65036644931541698</v>
      </c>
      <c r="F95" s="1">
        <v>0.51206930836175102</v>
      </c>
      <c r="G95" s="1">
        <v>2.3569517091789501E-2</v>
      </c>
      <c r="H95" s="1">
        <v>0.38953120982915501</v>
      </c>
      <c r="I95" s="1">
        <v>3.08454523242412E-3</v>
      </c>
      <c r="K95" s="6" t="s">
        <v>22</v>
      </c>
      <c r="L95" s="3">
        <f t="shared" si="14"/>
        <v>0.65036644931541698</v>
      </c>
      <c r="M95" s="11">
        <f t="shared" si="15"/>
        <v>3.5620131140087261E-2</v>
      </c>
      <c r="N95" s="3">
        <f t="shared" si="16"/>
        <v>4.8248776177601607E-2</v>
      </c>
      <c r="O95" s="3">
        <f t="shared" si="17"/>
        <v>0.38953120982915501</v>
      </c>
      <c r="Q95">
        <v>0</v>
      </c>
      <c r="R95">
        <v>0</v>
      </c>
      <c r="S95">
        <f t="shared" si="18"/>
        <v>0</v>
      </c>
    </row>
    <row r="96" spans="1:19" x14ac:dyDescent="0.2">
      <c r="A96" s="1">
        <v>0.48849979126996201</v>
      </c>
      <c r="B96" s="1">
        <v>0.11322020635842001</v>
      </c>
      <c r="C96" s="1">
        <v>0.50683992824228397</v>
      </c>
      <c r="D96" s="1">
        <v>-1.8340136972322001E-2</v>
      </c>
      <c r="E96" s="1">
        <v>0.515668539294169</v>
      </c>
      <c r="F96" s="1">
        <v>0.50337539679648302</v>
      </c>
      <c r="G96" s="1">
        <v>1.4875605526521099E-2</v>
      </c>
      <c r="H96" s="1">
        <v>0.59619973167872697</v>
      </c>
      <c r="I96" s="1">
        <v>1.6607871249421501E-2</v>
      </c>
      <c r="K96" s="6" t="s">
        <v>23</v>
      </c>
      <c r="L96" s="3">
        <f t="shared" si="14"/>
        <v>0.515668539294169</v>
      </c>
      <c r="M96" s="11">
        <f t="shared" si="15"/>
        <v>-3.7543796947472188E-2</v>
      </c>
      <c r="N96" s="3">
        <f t="shared" si="16"/>
        <v>3.0451610814098223E-2</v>
      </c>
      <c r="O96" s="3">
        <f t="shared" si="17"/>
        <v>0.59619973167872697</v>
      </c>
      <c r="Q96">
        <v>0</v>
      </c>
      <c r="R96">
        <v>0</v>
      </c>
      <c r="S96">
        <f t="shared" si="18"/>
        <v>0</v>
      </c>
    </row>
    <row r="97" spans="1:19" x14ac:dyDescent="0.2">
      <c r="A97" s="1">
        <v>0.48849979126996201</v>
      </c>
      <c r="B97" s="1">
        <v>0.11322020635842001</v>
      </c>
      <c r="C97" s="1">
        <v>0.39344912169383101</v>
      </c>
      <c r="D97" s="1">
        <v>9.5050669576130606E-2</v>
      </c>
      <c r="E97" s="1">
        <v>1.68313901199826E-3</v>
      </c>
      <c r="F97" s="1">
        <v>0.62971194671118602</v>
      </c>
      <c r="G97" s="1">
        <v>0.14121215544122301</v>
      </c>
      <c r="H97" s="1">
        <v>3.3936381369568902E-5</v>
      </c>
      <c r="I97" s="1">
        <v>2.30807429325466E-2</v>
      </c>
      <c r="K97" s="6" t="s">
        <v>24</v>
      </c>
      <c r="L97" s="5">
        <f t="shared" si="14"/>
        <v>1.68313901199826E-3</v>
      </c>
      <c r="M97" s="11">
        <f t="shared" si="15"/>
        <v>0.19457668411490128</v>
      </c>
      <c r="N97" s="3">
        <f t="shared" si="16"/>
        <v>0.28907311316164769</v>
      </c>
      <c r="O97" s="5">
        <f t="shared" si="17"/>
        <v>3.3936381369568902E-5</v>
      </c>
      <c r="Q97">
        <v>0.1945822391580827</v>
      </c>
      <c r="R97">
        <v>0.28911524192890581</v>
      </c>
      <c r="S97">
        <f t="shared" si="18"/>
        <v>0.24184874054349426</v>
      </c>
    </row>
    <row r="98" spans="1:19" x14ac:dyDescent="0.2">
      <c r="A98" s="1">
        <v>0.48849979126996201</v>
      </c>
      <c r="B98" s="1">
        <v>0.11322020635842001</v>
      </c>
      <c r="C98" s="1">
        <v>0.50840605710299702</v>
      </c>
      <c r="D98" s="1">
        <v>-1.99062658330353E-2</v>
      </c>
      <c r="E98" s="1">
        <v>0.475971494962312</v>
      </c>
      <c r="F98" s="1">
        <v>0.51288680891665905</v>
      </c>
      <c r="G98" s="1">
        <v>2.4387017646697401E-2</v>
      </c>
      <c r="H98" s="1">
        <v>0.367252037767969</v>
      </c>
      <c r="I98" s="1">
        <v>2.2146641739866399E-2</v>
      </c>
      <c r="K98" s="6" t="s">
        <v>25</v>
      </c>
      <c r="L98" s="3">
        <f t="shared" si="14"/>
        <v>0.475971494962312</v>
      </c>
      <c r="M98" s="11">
        <f t="shared" si="15"/>
        <v>-4.0749793938058006E-2</v>
      </c>
      <c r="N98" s="3">
        <f t="shared" si="16"/>
        <v>4.9922268304962866E-2</v>
      </c>
      <c r="O98" s="3">
        <f t="shared" si="17"/>
        <v>0.367252037767969</v>
      </c>
      <c r="Q98">
        <v>0</v>
      </c>
      <c r="R98">
        <v>0</v>
      </c>
      <c r="S98">
        <f t="shared" si="18"/>
        <v>0</v>
      </c>
    </row>
    <row r="99" spans="1:19" ht="51" x14ac:dyDescent="0.2">
      <c r="L99" s="4" t="s">
        <v>1</v>
      </c>
      <c r="M99" s="12" t="s">
        <v>2</v>
      </c>
      <c r="N99" s="4" t="s">
        <v>3</v>
      </c>
      <c r="O99" s="4" t="s">
        <v>1</v>
      </c>
    </row>
    <row r="101" spans="1:19" x14ac:dyDescent="0.2">
      <c r="A101" t="s">
        <v>30</v>
      </c>
      <c r="L101" s="4"/>
      <c r="M101" s="12"/>
      <c r="N101" s="4"/>
      <c r="O101" s="4"/>
    </row>
    <row r="102" spans="1:19" ht="19" x14ac:dyDescent="0.25">
      <c r="L102" s="15" t="s">
        <v>29</v>
      </c>
      <c r="M102" s="16"/>
      <c r="N102" s="16"/>
      <c r="O102" s="16"/>
    </row>
    <row r="103" spans="1:19" x14ac:dyDescent="0.2">
      <c r="A103" s="1">
        <v>1.3031263901376499E-6</v>
      </c>
      <c r="B103" s="1">
        <v>2.99987040739694E-7</v>
      </c>
      <c r="C103" s="1">
        <v>1.3486121623176199E-6</v>
      </c>
      <c r="D103" s="1">
        <v>-4.5485772179962798E-8</v>
      </c>
      <c r="E103" s="1">
        <v>0.52816733508158298</v>
      </c>
      <c r="F103" s="1">
        <v>1.4074183617361001E-6</v>
      </c>
      <c r="G103" s="1">
        <v>1.0429197159845E-7</v>
      </c>
      <c r="H103" s="1">
        <v>0.14805099154213</v>
      </c>
      <c r="I103" s="1">
        <v>7.4888871889206795E-8</v>
      </c>
      <c r="K103" s="6" t="s">
        <v>4</v>
      </c>
      <c r="L103" s="2">
        <f t="shared" ref="L103:L124" si="19">E103</f>
        <v>0.52816733508158298</v>
      </c>
      <c r="M103" s="11">
        <f t="shared" ref="M103:M124" si="20">D103/A103</f>
        <v>-3.4905111679273189E-2</v>
      </c>
      <c r="N103" s="3">
        <f t="shared" ref="N103:N124" si="21">G103/A103</f>
        <v>8.0032123044821143E-2</v>
      </c>
      <c r="O103" s="2">
        <f t="shared" ref="O103:O124" si="22">H103</f>
        <v>0.14805099154213</v>
      </c>
      <c r="Q103">
        <v>0</v>
      </c>
      <c r="R103">
        <v>0</v>
      </c>
      <c r="S103">
        <f t="shared" ref="S103:S124" si="23">(ABS(Q103)+ABS(R103))/2</f>
        <v>0</v>
      </c>
    </row>
    <row r="104" spans="1:19" x14ac:dyDescent="0.2">
      <c r="A104" s="1">
        <v>1.3031263901376499E-6</v>
      </c>
      <c r="B104" s="1">
        <v>2.99987040739694E-7</v>
      </c>
      <c r="C104" s="1">
        <v>1.50367642964838E-6</v>
      </c>
      <c r="D104" s="1">
        <v>-2.0055003951072801E-7</v>
      </c>
      <c r="E104" s="1">
        <v>9.0445281220620094E-3</v>
      </c>
      <c r="F104" s="1">
        <v>1.93602288711081E-6</v>
      </c>
      <c r="G104" s="1">
        <v>6.3289649697315997E-7</v>
      </c>
      <c r="H104" s="1">
        <v>0.187973776196978</v>
      </c>
      <c r="I104" s="1">
        <v>4.1672326824194399E-7</v>
      </c>
      <c r="K104" s="6" t="s">
        <v>5</v>
      </c>
      <c r="L104" s="2">
        <f t="shared" si="19"/>
        <v>9.0445281220620094E-3</v>
      </c>
      <c r="M104" s="11">
        <f t="shared" si="20"/>
        <v>-0.15389914672017638</v>
      </c>
      <c r="N104" s="3">
        <f t="shared" si="21"/>
        <v>0.48567545079515023</v>
      </c>
      <c r="O104" s="2">
        <f t="shared" si="22"/>
        <v>0.187973776196978</v>
      </c>
      <c r="Q104">
        <v>0</v>
      </c>
      <c r="R104">
        <v>0</v>
      </c>
      <c r="S104">
        <f t="shared" si="23"/>
        <v>0</v>
      </c>
    </row>
    <row r="105" spans="1:19" x14ac:dyDescent="0.2">
      <c r="A105" s="1">
        <v>1.3031263901376499E-6</v>
      </c>
      <c r="B105" s="1">
        <v>2.99987040739694E-7</v>
      </c>
      <c r="C105" s="1">
        <v>1.3763257555185701E-3</v>
      </c>
      <c r="D105" s="1">
        <v>-1.37502262912843E-3</v>
      </c>
      <c r="E105" s="1">
        <v>0.32837282218834701</v>
      </c>
      <c r="F105" s="1">
        <v>1.3340831605616999E-6</v>
      </c>
      <c r="G105" s="1">
        <v>3.0956770424050399E-8</v>
      </c>
      <c r="H105" s="1">
        <v>0.65873044109007395</v>
      </c>
      <c r="I105" s="1">
        <v>6.8752679294943196E-4</v>
      </c>
      <c r="K105" s="6" t="s">
        <v>6</v>
      </c>
      <c r="L105" s="2">
        <f t="shared" si="19"/>
        <v>0.32837282218834701</v>
      </c>
      <c r="M105" s="11">
        <f t="shared" si="20"/>
        <v>-1055.1721149497905</v>
      </c>
      <c r="N105" s="3">
        <f t="shared" si="21"/>
        <v>2.3755769707633975E-2</v>
      </c>
      <c r="O105" s="2">
        <f t="shared" si="22"/>
        <v>0.65873044109007395</v>
      </c>
      <c r="Q105">
        <v>0</v>
      </c>
      <c r="R105">
        <v>0</v>
      </c>
      <c r="S105">
        <f t="shared" si="23"/>
        <v>0</v>
      </c>
    </row>
    <row r="106" spans="1:19" x14ac:dyDescent="0.2">
      <c r="A106" s="1">
        <v>1.3031263901376499E-6</v>
      </c>
      <c r="B106" s="1">
        <v>2.99987040739694E-7</v>
      </c>
      <c r="C106" s="1">
        <v>1.11692777754557E-6</v>
      </c>
      <c r="D106" s="1">
        <v>1.86198612592084E-7</v>
      </c>
      <c r="E106" s="1">
        <v>5.5977285583703899E-2</v>
      </c>
      <c r="F106" s="1">
        <v>3.9700861903239998E-6</v>
      </c>
      <c r="G106" s="1">
        <v>2.66695980018634E-6</v>
      </c>
      <c r="H106" s="1">
        <v>0.24886794181731201</v>
      </c>
      <c r="I106" s="1">
        <v>1.24038059379713E-6</v>
      </c>
      <c r="K106" s="6" t="s">
        <v>7</v>
      </c>
      <c r="L106" s="2">
        <f t="shared" si="19"/>
        <v>5.5977285583703899E-2</v>
      </c>
      <c r="M106" s="11">
        <f t="shared" si="20"/>
        <v>0.14288607306342385</v>
      </c>
      <c r="N106" s="3">
        <f t="shared" si="21"/>
        <v>2.0465856730172027</v>
      </c>
      <c r="O106" s="2">
        <f t="shared" si="22"/>
        <v>0.24886794181731201</v>
      </c>
      <c r="Q106">
        <v>0</v>
      </c>
      <c r="R106">
        <v>0</v>
      </c>
      <c r="S106">
        <f t="shared" si="23"/>
        <v>0</v>
      </c>
    </row>
    <row r="107" spans="1:19" x14ac:dyDescent="0.2">
      <c r="A107" s="1">
        <v>1.3031263901376499E-6</v>
      </c>
      <c r="B107" s="1">
        <v>2.99987040739694E-7</v>
      </c>
      <c r="C107" s="1">
        <v>1.76963532503824E-6</v>
      </c>
      <c r="D107" s="1">
        <v>-4.6650893490059101E-7</v>
      </c>
      <c r="E107" s="1">
        <v>1.7303077746763899E-6</v>
      </c>
      <c r="F107" s="1">
        <v>1.11424473003422E-6</v>
      </c>
      <c r="G107" s="1">
        <v>-1.8888166010342899E-7</v>
      </c>
      <c r="H107" s="1">
        <v>1.31742886140817E-2</v>
      </c>
      <c r="I107" s="1">
        <v>1.3881363739858101E-7</v>
      </c>
      <c r="K107" s="6" t="s">
        <v>8</v>
      </c>
      <c r="L107" s="7">
        <f t="shared" si="19"/>
        <v>1.7303077746763899E-6</v>
      </c>
      <c r="M107" s="11">
        <f t="shared" si="20"/>
        <v>-0.35799208613319039</v>
      </c>
      <c r="N107" s="3">
        <f t="shared" si="21"/>
        <v>-0.14494500420905246</v>
      </c>
      <c r="O107" s="9">
        <f t="shared" si="22"/>
        <v>1.31742886140817E-2</v>
      </c>
      <c r="Q107">
        <v>-0.35797676652005883</v>
      </c>
      <c r="R107">
        <v>0</v>
      </c>
      <c r="S107">
        <f t="shared" si="23"/>
        <v>0.17898838326002942</v>
      </c>
    </row>
    <row r="108" spans="1:19" x14ac:dyDescent="0.2">
      <c r="A108" s="1">
        <v>1.3031263901376499E-6</v>
      </c>
      <c r="B108" s="1">
        <v>2.99987040739694E-7</v>
      </c>
      <c r="C108" s="1">
        <v>1.35097514480408E-6</v>
      </c>
      <c r="D108" s="1">
        <v>-4.7848754666428101E-8</v>
      </c>
      <c r="E108" s="1">
        <v>0.53632435441540505</v>
      </c>
      <c r="F108" s="1">
        <v>1.42781090416418E-6</v>
      </c>
      <c r="G108" s="1">
        <v>1.24684514026528E-7</v>
      </c>
      <c r="H108" s="1">
        <v>8.7120750424681995E-2</v>
      </c>
      <c r="I108" s="1">
        <v>8.6266634346478294E-8</v>
      </c>
      <c r="K108" s="6" t="s">
        <v>9</v>
      </c>
      <c r="L108" s="2">
        <f t="shared" si="19"/>
        <v>0.53632435441540505</v>
      </c>
      <c r="M108" s="11">
        <f t="shared" si="20"/>
        <v>-3.6718429638566225E-2</v>
      </c>
      <c r="N108" s="3">
        <f t="shared" si="21"/>
        <v>9.568105977299525E-2</v>
      </c>
      <c r="O108" s="2">
        <f t="shared" si="22"/>
        <v>8.7120750424681995E-2</v>
      </c>
      <c r="Q108">
        <v>0</v>
      </c>
      <c r="R108">
        <v>0</v>
      </c>
      <c r="S108">
        <f t="shared" si="23"/>
        <v>0</v>
      </c>
    </row>
    <row r="109" spans="1:19" x14ac:dyDescent="0.2">
      <c r="A109" s="1">
        <v>1.3031263901376499E-6</v>
      </c>
      <c r="B109" s="1">
        <v>2.99987040739694E-7</v>
      </c>
      <c r="C109" s="1">
        <v>2.34631921439012E-6</v>
      </c>
      <c r="D109" s="1">
        <v>-1.0431928242524599E-6</v>
      </c>
      <c r="E109" s="1">
        <v>0.16208412018083701</v>
      </c>
      <c r="F109" s="1">
        <v>1.4653736091520899E-6</v>
      </c>
      <c r="G109" s="1">
        <v>1.62247219014442E-7</v>
      </c>
      <c r="H109" s="1">
        <v>0.102141439709809</v>
      </c>
      <c r="I109" s="1">
        <v>6.0272002163345397E-7</v>
      </c>
      <c r="K109" s="6" t="s">
        <v>10</v>
      </c>
      <c r="L109" s="2">
        <f t="shared" si="19"/>
        <v>0.16208412018083701</v>
      </c>
      <c r="M109" s="11">
        <f t="shared" si="20"/>
        <v>-0.80053080971084234</v>
      </c>
      <c r="N109" s="3">
        <f t="shared" si="21"/>
        <v>0.12450612637604841</v>
      </c>
      <c r="O109" s="2">
        <f t="shared" si="22"/>
        <v>0.102141439709809</v>
      </c>
      <c r="Q109">
        <v>0</v>
      </c>
      <c r="R109">
        <v>0</v>
      </c>
      <c r="S109">
        <f t="shared" si="23"/>
        <v>0</v>
      </c>
    </row>
    <row r="110" spans="1:19" x14ac:dyDescent="0.2">
      <c r="A110" s="1">
        <v>1.3031263901376499E-6</v>
      </c>
      <c r="B110" s="1">
        <v>2.99987040739694E-7</v>
      </c>
      <c r="C110" s="1">
        <v>1.32532831706195E-6</v>
      </c>
      <c r="D110" s="1">
        <v>-2.2201926924292701E-8</v>
      </c>
      <c r="E110" s="1">
        <v>0.75216795053075303</v>
      </c>
      <c r="F110" s="1">
        <v>1.43399044829375E-6</v>
      </c>
      <c r="G110" s="1">
        <v>1.30864058156093E-7</v>
      </c>
      <c r="H110" s="1">
        <v>7.3437315310154794E-2</v>
      </c>
      <c r="I110" s="1">
        <v>7.6532992540193196E-8</v>
      </c>
      <c r="K110" s="6" t="s">
        <v>11</v>
      </c>
      <c r="L110" s="2">
        <f t="shared" si="19"/>
        <v>0.75216795053075303</v>
      </c>
      <c r="M110" s="11">
        <f t="shared" si="20"/>
        <v>-1.7037431742862257E-2</v>
      </c>
      <c r="N110" s="3">
        <f t="shared" si="21"/>
        <v>0.10042315092879806</v>
      </c>
      <c r="O110" s="2">
        <f t="shared" si="22"/>
        <v>7.3437315310154794E-2</v>
      </c>
      <c r="Q110">
        <v>0</v>
      </c>
      <c r="R110">
        <v>0</v>
      </c>
      <c r="S110">
        <f t="shared" si="23"/>
        <v>0</v>
      </c>
    </row>
    <row r="111" spans="1:19" x14ac:dyDescent="0.2">
      <c r="A111" s="1">
        <v>1.3031263901376499E-6</v>
      </c>
      <c r="B111" s="1">
        <v>2.99987040739694E-7</v>
      </c>
      <c r="C111" s="1">
        <v>1.4379654770355299E-6</v>
      </c>
      <c r="D111" s="1">
        <v>-1.34839086897873E-7</v>
      </c>
      <c r="E111" s="1">
        <v>6.5779570699442694E-2</v>
      </c>
      <c r="F111" s="1">
        <v>1.55587674436339E-6</v>
      </c>
      <c r="G111" s="1">
        <v>2.5275035422573301E-7</v>
      </c>
      <c r="H111" s="1">
        <v>0.132762581351833</v>
      </c>
      <c r="I111" s="1">
        <v>1.9379472056180301E-7</v>
      </c>
      <c r="K111" s="6" t="s">
        <v>12</v>
      </c>
      <c r="L111" s="2">
        <f t="shared" si="19"/>
        <v>6.5779570699442694E-2</v>
      </c>
      <c r="M111" s="11">
        <f t="shared" si="20"/>
        <v>-0.10347352944301119</v>
      </c>
      <c r="N111" s="3">
        <f t="shared" si="21"/>
        <v>0.19395689945242753</v>
      </c>
      <c r="O111" s="2">
        <f t="shared" si="22"/>
        <v>0.132762581351833</v>
      </c>
      <c r="Q111">
        <v>0</v>
      </c>
      <c r="R111">
        <v>0</v>
      </c>
      <c r="S111">
        <f t="shared" si="23"/>
        <v>0</v>
      </c>
    </row>
    <row r="112" spans="1:19" x14ac:dyDescent="0.2">
      <c r="A112" s="1">
        <v>1.3031263901376499E-6</v>
      </c>
      <c r="B112" s="1">
        <v>2.99987040739694E-7</v>
      </c>
      <c r="C112" s="1">
        <v>2.9818753458267299E-4</v>
      </c>
      <c r="D112" s="1">
        <v>-2.96884408192536E-4</v>
      </c>
      <c r="E112" s="1">
        <v>0.32756390296112697</v>
      </c>
      <c r="F112" s="1">
        <v>7.7920120034873503E-6</v>
      </c>
      <c r="G112" s="1">
        <v>6.48888561334969E-6</v>
      </c>
      <c r="H112" s="1">
        <v>0.320625533828027</v>
      </c>
      <c r="I112" s="1">
        <v>1.5168664690294199E-4</v>
      </c>
      <c r="K112" s="6" t="s">
        <v>13</v>
      </c>
      <c r="L112" s="2">
        <f t="shared" si="19"/>
        <v>0.32756390296112697</v>
      </c>
      <c r="M112" s="11">
        <f t="shared" si="20"/>
        <v>-227.8247224823495</v>
      </c>
      <c r="N112" s="3">
        <f t="shared" si="21"/>
        <v>4.9794752546330256</v>
      </c>
      <c r="O112" s="2">
        <f t="shared" si="22"/>
        <v>0.320625533828027</v>
      </c>
      <c r="Q112">
        <v>0</v>
      </c>
      <c r="R112">
        <v>4.9661746078151934</v>
      </c>
      <c r="S112">
        <f t="shared" si="23"/>
        <v>2.4830873039075967</v>
      </c>
    </row>
    <row r="113" spans="1:19" x14ac:dyDescent="0.2">
      <c r="A113" s="1">
        <v>1.3031263901376499E-6</v>
      </c>
      <c r="B113" s="1">
        <v>2.99987040739694E-7</v>
      </c>
      <c r="C113" s="1">
        <v>1.4807378607545901E-6</v>
      </c>
      <c r="D113" s="1">
        <v>-1.7761147061693999E-7</v>
      </c>
      <c r="E113" s="1">
        <v>9.8219658815793795E-2</v>
      </c>
      <c r="F113" s="1">
        <v>1.39063311547903E-6</v>
      </c>
      <c r="G113" s="1">
        <v>8.7506725341376406E-8</v>
      </c>
      <c r="H113" s="1">
        <v>0.22452278436526599</v>
      </c>
      <c r="I113" s="1">
        <v>1.3255909797915799E-7</v>
      </c>
      <c r="K113" s="6" t="s">
        <v>14</v>
      </c>
      <c r="L113" s="2">
        <f t="shared" si="19"/>
        <v>9.8219658815793795E-2</v>
      </c>
      <c r="M113" s="11">
        <f t="shared" si="20"/>
        <v>-0.13629642677881676</v>
      </c>
      <c r="N113" s="3">
        <f t="shared" si="21"/>
        <v>6.7151372271827769E-2</v>
      </c>
      <c r="O113" s="2">
        <f t="shared" si="22"/>
        <v>0.22452278436526599</v>
      </c>
      <c r="Q113">
        <v>0</v>
      </c>
      <c r="R113">
        <v>0</v>
      </c>
      <c r="S113">
        <f t="shared" si="23"/>
        <v>0</v>
      </c>
    </row>
    <row r="114" spans="1:19" x14ac:dyDescent="0.2">
      <c r="A114" s="1">
        <v>1.3031263901376499E-6</v>
      </c>
      <c r="B114" s="1">
        <v>2.99987040739694E-7</v>
      </c>
      <c r="C114" s="1">
        <v>1.3117252848919601E-6</v>
      </c>
      <c r="D114" s="1">
        <v>-8.5988947543099602E-9</v>
      </c>
      <c r="E114" s="1">
        <v>0.90360142048978298</v>
      </c>
      <c r="F114" s="1">
        <v>4.9898372878289398E-6</v>
      </c>
      <c r="G114" s="1">
        <v>3.6867108976912901E-6</v>
      </c>
      <c r="H114" s="1">
        <v>0.243360235235665</v>
      </c>
      <c r="I114" s="1">
        <v>1.8476548962227999E-6</v>
      </c>
      <c r="K114" s="6" t="s">
        <v>15</v>
      </c>
      <c r="L114" s="2">
        <f t="shared" si="19"/>
        <v>0.90360142048978298</v>
      </c>
      <c r="M114" s="11">
        <f t="shared" si="20"/>
        <v>-6.5986651942500025E-3</v>
      </c>
      <c r="N114" s="3">
        <f t="shared" si="21"/>
        <v>2.8291276468599955</v>
      </c>
      <c r="O114" s="2">
        <f t="shared" si="22"/>
        <v>0.243360235235665</v>
      </c>
      <c r="Q114">
        <v>0</v>
      </c>
      <c r="R114">
        <v>0</v>
      </c>
      <c r="S114">
        <f t="shared" si="23"/>
        <v>0</v>
      </c>
    </row>
    <row r="115" spans="1:19" x14ac:dyDescent="0.2">
      <c r="A115" s="1">
        <v>1.3031263901376499E-6</v>
      </c>
      <c r="B115" s="1">
        <v>2.99987040739694E-7</v>
      </c>
      <c r="C115" s="1">
        <v>2.8503801053761199E-6</v>
      </c>
      <c r="D115" s="1">
        <v>-1.54725371523847E-6</v>
      </c>
      <c r="E115" s="1">
        <v>1.8383923659548998E-15</v>
      </c>
      <c r="F115" s="1">
        <v>7.4434494044544402E-7</v>
      </c>
      <c r="G115" s="1">
        <v>-5.5878144969221205E-7</v>
      </c>
      <c r="H115" s="1">
        <v>1.3185729958264301E-7</v>
      </c>
      <c r="I115" s="1">
        <v>4.9423613277312801E-7</v>
      </c>
      <c r="K115" s="6" t="s">
        <v>16</v>
      </c>
      <c r="L115" s="7">
        <f t="shared" si="19"/>
        <v>1.8383923659548998E-15</v>
      </c>
      <c r="M115" s="11">
        <f t="shared" si="20"/>
        <v>-1.1873397138976156</v>
      </c>
      <c r="N115" s="3">
        <f t="shared" si="21"/>
        <v>-0.42880065504098008</v>
      </c>
      <c r="O115" s="7">
        <f t="shared" si="22"/>
        <v>1.3185729958264301E-7</v>
      </c>
      <c r="Q115">
        <v>-1.1874478412738021</v>
      </c>
      <c r="R115">
        <v>-0.42879094165685827</v>
      </c>
      <c r="S115">
        <f t="shared" si="23"/>
        <v>0.80811939146533018</v>
      </c>
    </row>
    <row r="116" spans="1:19" x14ac:dyDescent="0.2">
      <c r="A116" s="1">
        <v>1.3031263901376499E-6</v>
      </c>
      <c r="B116" s="1">
        <v>2.99987040739694E-7</v>
      </c>
      <c r="C116" s="1">
        <v>4.15448782924212E-7</v>
      </c>
      <c r="D116" s="1">
        <v>8.8767760721344496E-7</v>
      </c>
      <c r="E116" s="1">
        <v>7.2860296497751097E-11</v>
      </c>
      <c r="F116" s="1">
        <v>3.0940537194188702E-6</v>
      </c>
      <c r="G116" s="1">
        <v>1.7909273292812101E-6</v>
      </c>
      <c r="H116" s="1">
        <v>5.6683705453292699E-18</v>
      </c>
      <c r="I116" s="1">
        <v>4.5162486103388499E-7</v>
      </c>
      <c r="K116" s="6" t="s">
        <v>17</v>
      </c>
      <c r="L116" s="7">
        <f t="shared" si="19"/>
        <v>7.2860296497751097E-11</v>
      </c>
      <c r="M116" s="11">
        <f t="shared" si="20"/>
        <v>0.68119072250518931</v>
      </c>
      <c r="N116" s="3">
        <f t="shared" si="21"/>
        <v>1.3743312566112895</v>
      </c>
      <c r="O116" s="7">
        <f t="shared" si="22"/>
        <v>5.6683705453292699E-18</v>
      </c>
      <c r="Q116">
        <v>0.68108614461153671</v>
      </c>
      <c r="R116">
        <v>1.374049429151839</v>
      </c>
      <c r="S116">
        <f t="shared" si="23"/>
        <v>1.0275677868816879</v>
      </c>
    </row>
    <row r="117" spans="1:19" x14ac:dyDescent="0.2">
      <c r="A117" s="1">
        <v>1.3031263901376499E-6</v>
      </c>
      <c r="B117" s="1">
        <v>2.99987040739694E-7</v>
      </c>
      <c r="C117" s="1">
        <v>4.9135934156404996E-4</v>
      </c>
      <c r="D117" s="1">
        <v>-4.90056215173912E-4</v>
      </c>
      <c r="E117" s="1">
        <v>0.32981579797305499</v>
      </c>
      <c r="F117" s="1">
        <v>1.3621055237973501E-6</v>
      </c>
      <c r="G117" s="1">
        <v>5.8979133659699098E-8</v>
      </c>
      <c r="H117" s="1">
        <v>0.40351273777397401</v>
      </c>
      <c r="I117" s="1">
        <v>2.4505759715378602E-4</v>
      </c>
      <c r="K117" s="6" t="s">
        <v>18</v>
      </c>
      <c r="L117" s="2">
        <f t="shared" si="19"/>
        <v>0.32981579797305499</v>
      </c>
      <c r="M117" s="11">
        <f t="shared" si="20"/>
        <v>-376.06192222240782</v>
      </c>
      <c r="N117" s="3">
        <f t="shared" si="21"/>
        <v>4.5259718555365223E-2</v>
      </c>
      <c r="O117" s="2">
        <f t="shared" si="22"/>
        <v>0.40351273777397401</v>
      </c>
      <c r="Q117">
        <v>0</v>
      </c>
      <c r="R117">
        <v>0</v>
      </c>
      <c r="S117">
        <f t="shared" si="23"/>
        <v>0</v>
      </c>
    </row>
    <row r="118" spans="1:19" x14ac:dyDescent="0.2">
      <c r="A118" s="1">
        <v>1.3031263901376499E-6</v>
      </c>
      <c r="B118" s="1">
        <v>2.99987040739694E-7</v>
      </c>
      <c r="C118" s="1">
        <v>2.7341916170410002E-6</v>
      </c>
      <c r="D118" s="1">
        <v>-1.4310652269033399E-6</v>
      </c>
      <c r="E118" s="1">
        <v>0.23232736964879</v>
      </c>
      <c r="F118" s="1">
        <v>1.17223140898973E-6</v>
      </c>
      <c r="G118" s="1">
        <v>-1.3089498114792601E-7</v>
      </c>
      <c r="H118" s="1">
        <v>7.33736734658227E-2</v>
      </c>
      <c r="I118" s="1">
        <v>6.5008512287771095E-7</v>
      </c>
      <c r="K118" s="6" t="s">
        <v>19</v>
      </c>
      <c r="L118" s="2">
        <f t="shared" si="19"/>
        <v>0.23232736964879</v>
      </c>
      <c r="M118" s="11">
        <f t="shared" si="20"/>
        <v>-1.0981783791149957</v>
      </c>
      <c r="N118" s="3">
        <f t="shared" si="21"/>
        <v>-0.1004468807773124</v>
      </c>
      <c r="O118" s="2">
        <f t="shared" si="22"/>
        <v>7.33736734658227E-2</v>
      </c>
      <c r="Q118">
        <v>0</v>
      </c>
      <c r="R118">
        <v>0</v>
      </c>
      <c r="S118">
        <f t="shared" si="23"/>
        <v>0</v>
      </c>
    </row>
    <row r="119" spans="1:19" x14ac:dyDescent="0.2">
      <c r="A119" s="1">
        <v>1.3031263901376499E-6</v>
      </c>
      <c r="B119" s="1">
        <v>2.99987040739694E-7</v>
      </c>
      <c r="C119" s="1">
        <v>7.2645060187031196E-6</v>
      </c>
      <c r="D119" s="1">
        <v>-5.9613796285654601E-6</v>
      </c>
      <c r="E119" s="1">
        <v>0.31509931269871999</v>
      </c>
      <c r="F119" s="1">
        <v>1.84893565270967E-6</v>
      </c>
      <c r="G119" s="1">
        <v>5.4580926257201401E-7</v>
      </c>
      <c r="H119" s="1">
        <v>0.21625414632123099</v>
      </c>
      <c r="I119" s="1">
        <v>3.25359444556874E-6</v>
      </c>
      <c r="K119" s="6" t="s">
        <v>20</v>
      </c>
      <c r="L119" s="2">
        <f t="shared" si="19"/>
        <v>0.31509931269871999</v>
      </c>
      <c r="M119" s="11">
        <f t="shared" si="20"/>
        <v>-4.5746749307530763</v>
      </c>
      <c r="N119" s="3">
        <f t="shared" si="21"/>
        <v>0.41884598969280323</v>
      </c>
      <c r="O119" s="2">
        <f t="shared" si="22"/>
        <v>0.21625414632123099</v>
      </c>
      <c r="Q119">
        <v>0</v>
      </c>
      <c r="R119">
        <v>0</v>
      </c>
      <c r="S119">
        <f t="shared" si="23"/>
        <v>0</v>
      </c>
    </row>
    <row r="120" spans="1:19" x14ac:dyDescent="0.2">
      <c r="A120" s="1">
        <v>1.3031263901376499E-6</v>
      </c>
      <c r="B120" s="1">
        <v>2.99987040739694E-7</v>
      </c>
      <c r="C120" s="1">
        <v>4.9600772684721204E-6</v>
      </c>
      <c r="D120" s="1">
        <v>-3.6569508783344601E-6</v>
      </c>
      <c r="E120" s="1">
        <v>0.160163843196406</v>
      </c>
      <c r="F120" s="1">
        <v>1.3960662740861701E-6</v>
      </c>
      <c r="G120" s="1">
        <v>9.29398839485205E-8</v>
      </c>
      <c r="H120" s="1">
        <v>0.21504296245564</v>
      </c>
      <c r="I120" s="1">
        <v>1.8749453811414901E-6</v>
      </c>
      <c r="K120" s="6" t="s">
        <v>21</v>
      </c>
      <c r="L120" s="2">
        <f t="shared" si="19"/>
        <v>0.160163843196406</v>
      </c>
      <c r="M120" s="11">
        <f t="shared" si="20"/>
        <v>-2.8062902462961974</v>
      </c>
      <c r="N120" s="3">
        <f t="shared" si="21"/>
        <v>7.1320698170116256E-2</v>
      </c>
      <c r="O120" s="2">
        <f t="shared" si="22"/>
        <v>0.21504296245564</v>
      </c>
      <c r="Q120">
        <v>0</v>
      </c>
      <c r="R120">
        <v>0</v>
      </c>
      <c r="S120">
        <f t="shared" si="23"/>
        <v>0</v>
      </c>
    </row>
    <row r="121" spans="1:19" x14ac:dyDescent="0.2">
      <c r="A121" s="1">
        <v>1.3031263901376499E-6</v>
      </c>
      <c r="B121" s="1">
        <v>2.99987040739694E-7</v>
      </c>
      <c r="C121" s="1">
        <v>6.3266279131845996E-3</v>
      </c>
      <c r="D121" s="1">
        <v>-6.3253247867944597E-3</v>
      </c>
      <c r="E121" s="1">
        <v>0.32568420694826999</v>
      </c>
      <c r="F121" s="1">
        <v>1.35744186909547E-6</v>
      </c>
      <c r="G121" s="1">
        <v>5.4315478957818101E-8</v>
      </c>
      <c r="H121" s="1">
        <v>0.44214406940449003</v>
      </c>
      <c r="I121" s="1">
        <v>3.1626895511367098E-3</v>
      </c>
      <c r="K121" s="6" t="s">
        <v>22</v>
      </c>
      <c r="L121" s="2">
        <f t="shared" si="19"/>
        <v>0.32568420694826999</v>
      </c>
      <c r="M121" s="11">
        <f t="shared" si="20"/>
        <v>-4853.9610851763291</v>
      </c>
      <c r="N121" s="3">
        <f t="shared" si="21"/>
        <v>4.1680898621108214E-2</v>
      </c>
      <c r="O121" s="2">
        <f t="shared" si="22"/>
        <v>0.44214406940449003</v>
      </c>
      <c r="Q121">
        <v>0</v>
      </c>
      <c r="R121">
        <v>0</v>
      </c>
      <c r="S121">
        <f t="shared" si="23"/>
        <v>0</v>
      </c>
    </row>
    <row r="122" spans="1:19" x14ac:dyDescent="0.2">
      <c r="A122" s="1">
        <v>1.3031263901376499E-6</v>
      </c>
      <c r="B122" s="1">
        <v>2.99987040739694E-7</v>
      </c>
      <c r="C122" s="1">
        <v>1.80996445687766E-6</v>
      </c>
      <c r="D122" s="1">
        <v>-5.0683806674001105E-7</v>
      </c>
      <c r="E122" s="1">
        <v>0.16026047519508699</v>
      </c>
      <c r="F122" s="1">
        <v>1.40504175509976E-6</v>
      </c>
      <c r="G122" s="1">
        <v>1.01915364962107E-7</v>
      </c>
      <c r="H122" s="1">
        <v>0.21436239685550301</v>
      </c>
      <c r="I122" s="1">
        <v>3.0437671585105903E-7</v>
      </c>
      <c r="K122" s="6" t="s">
        <v>23</v>
      </c>
      <c r="L122" s="2">
        <f t="shared" si="19"/>
        <v>0.16026047519508699</v>
      </c>
      <c r="M122" s="11">
        <f t="shared" si="20"/>
        <v>-0.38894006795954267</v>
      </c>
      <c r="N122" s="3">
        <f t="shared" si="21"/>
        <v>7.82083501135616E-2</v>
      </c>
      <c r="O122" s="2">
        <f t="shared" si="22"/>
        <v>0.21436239685550301</v>
      </c>
      <c r="Q122">
        <v>0</v>
      </c>
      <c r="R122">
        <v>0</v>
      </c>
      <c r="S122">
        <f t="shared" si="23"/>
        <v>0</v>
      </c>
    </row>
    <row r="123" spans="1:19" x14ac:dyDescent="0.2">
      <c r="A123" s="1">
        <v>1.3031263901376499E-6</v>
      </c>
      <c r="B123" s="1">
        <v>2.99987040739694E-7</v>
      </c>
      <c r="C123" s="1">
        <v>1.07119500608742E-6</v>
      </c>
      <c r="D123" s="1">
        <v>2.31931384050228E-7</v>
      </c>
      <c r="E123" s="1">
        <v>3.2371491197525199E-3</v>
      </c>
      <c r="F123" s="1">
        <v>1.8763041790842501E-6</v>
      </c>
      <c r="G123" s="1">
        <v>5.7317778894660101E-7</v>
      </c>
      <c r="H123" s="1">
        <v>1.33179249956372E-2</v>
      </c>
      <c r="I123" s="1">
        <v>1.7062320244818599E-7</v>
      </c>
      <c r="K123" s="6" t="s">
        <v>24</v>
      </c>
      <c r="L123" s="7">
        <f t="shared" si="19"/>
        <v>3.2371491197525199E-3</v>
      </c>
      <c r="M123" s="11">
        <f t="shared" si="20"/>
        <v>0.17798072835109185</v>
      </c>
      <c r="N123" s="3">
        <f t="shared" si="21"/>
        <v>0.43984819376273698</v>
      </c>
      <c r="O123" s="7">
        <f t="shared" si="22"/>
        <v>1.33179249956372E-2</v>
      </c>
      <c r="Q123">
        <v>0.17798017720092055</v>
      </c>
      <c r="R123">
        <v>0.43942113706643965</v>
      </c>
      <c r="S123">
        <f t="shared" si="23"/>
        <v>0.30870065713368011</v>
      </c>
    </row>
    <row r="124" spans="1:19" x14ac:dyDescent="0.2">
      <c r="A124" s="1">
        <v>1.3031263901376499E-6</v>
      </c>
      <c r="B124" s="1">
        <v>2.99987040739694E-7</v>
      </c>
      <c r="C124" s="1">
        <v>1.54139103987336E-6</v>
      </c>
      <c r="D124" s="1">
        <v>-2.38264649735706E-7</v>
      </c>
      <c r="E124" s="1">
        <v>0.27152673484520901</v>
      </c>
      <c r="F124" s="1">
        <v>1.4056457694027801E-6</v>
      </c>
      <c r="G124" s="1">
        <v>1.0251937926512899E-7</v>
      </c>
      <c r="H124" s="1">
        <v>0.15454037452171501</v>
      </c>
      <c r="I124" s="1">
        <v>1.7039201450041799E-7</v>
      </c>
      <c r="K124" s="6" t="s">
        <v>25</v>
      </c>
      <c r="L124" s="2">
        <f t="shared" si="19"/>
        <v>0.27152673484520901</v>
      </c>
      <c r="M124" s="11">
        <f t="shared" si="20"/>
        <v>-0.18284078316496835</v>
      </c>
      <c r="N124" s="3">
        <f t="shared" si="21"/>
        <v>7.8671861794081088E-2</v>
      </c>
      <c r="O124" s="2">
        <f t="shared" si="22"/>
        <v>0.15454037452171501</v>
      </c>
      <c r="Q124">
        <v>0</v>
      </c>
      <c r="R124">
        <v>0</v>
      </c>
      <c r="S124">
        <f t="shared" si="23"/>
        <v>0</v>
      </c>
    </row>
    <row r="125" spans="1:19" ht="51" x14ac:dyDescent="0.2">
      <c r="L125" s="4" t="s">
        <v>1</v>
      </c>
      <c r="M125" s="12" t="s">
        <v>2</v>
      </c>
      <c r="N125" s="4" t="s">
        <v>3</v>
      </c>
      <c r="O125" s="4" t="s">
        <v>1</v>
      </c>
    </row>
  </sheetData>
  <mergeCells count="5">
    <mergeCell ref="L76:O76"/>
    <mergeCell ref="L102:O102"/>
    <mergeCell ref="L1:O1"/>
    <mergeCell ref="L26:O26"/>
    <mergeCell ref="L51:O51"/>
  </mergeCells>
  <conditionalFormatting sqref="M2:N23">
    <cfRule type="colorScale" priority="11">
      <colorScale>
        <cfvo type="min"/>
        <cfvo type="num" val="0"/>
        <cfvo type="max"/>
        <color theme="4"/>
        <color theme="0"/>
        <color rgb="FFC00000"/>
      </colorScale>
    </cfRule>
  </conditionalFormatting>
  <conditionalFormatting sqref="M27:N48">
    <cfRule type="colorScale" priority="12">
      <colorScale>
        <cfvo type="min"/>
        <cfvo type="num" val="0"/>
        <cfvo type="max"/>
        <color theme="4"/>
        <color theme="0"/>
        <color rgb="FFC00000"/>
      </colorScale>
    </cfRule>
    <cfRule type="colorScale" priority="13">
      <colorScale>
        <cfvo type="min"/>
        <cfvo type="num" val="0"/>
        <cfvo type="max"/>
        <color rgb="FF0070C0"/>
        <color theme="0"/>
        <color rgb="FFC00000"/>
      </colorScale>
    </cfRule>
  </conditionalFormatting>
  <conditionalFormatting sqref="M52:N73">
    <cfRule type="colorScale" priority="16">
      <colorScale>
        <cfvo type="min"/>
        <cfvo type="num" val="0"/>
        <cfvo type="max"/>
        <color theme="4"/>
        <color theme="0"/>
        <color rgb="FFC00000"/>
      </colorScale>
    </cfRule>
  </conditionalFormatting>
  <conditionalFormatting sqref="M77:N98">
    <cfRule type="colorScale" priority="18">
      <colorScale>
        <cfvo type="min"/>
        <cfvo type="num" val="0"/>
        <cfvo type="max"/>
        <color theme="4"/>
        <color theme="0"/>
        <color rgb="FFC00000"/>
      </colorScale>
    </cfRule>
    <cfRule type="colorScale" priority="19">
      <colorScale>
        <cfvo type="min"/>
        <cfvo type="num" val="0"/>
        <cfvo type="max"/>
        <color rgb="FF0070C0"/>
        <color theme="0"/>
        <color rgb="FFC00000"/>
      </colorScale>
    </cfRule>
  </conditionalFormatting>
  <conditionalFormatting sqref="M103:N124">
    <cfRule type="colorScale" priority="20">
      <colorScale>
        <cfvo type="min"/>
        <cfvo type="num" val="0"/>
        <cfvo type="max"/>
        <color theme="4"/>
        <color theme="0"/>
        <color rgb="FFC00000"/>
      </colorScale>
    </cfRule>
  </conditionalFormatting>
  <pageMargins left="0.75" right="0.75" top="1" bottom="1" header="0.5" footer="0.5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Tab.Baseline.GrowthRate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Aponte-Serrano, Josua Oscar</dc:creator>
  <cp:lastModifiedBy>Microsoft Office User</cp:lastModifiedBy>
  <dcterms:created xsi:type="dcterms:W3CDTF">2020-10-30T00:15:00Z</dcterms:created>
  <dcterms:modified xsi:type="dcterms:W3CDTF">2021-07-01T15:44:03Z</dcterms:modified>
</cp:coreProperties>
</file>